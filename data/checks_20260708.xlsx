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b3348a29a37a408/文件/Claude/Projects/支票辨識_ERP匯入/"/>
    </mc:Choice>
  </mc:AlternateContent>
  <xr:revisionPtr revIDLastSave="11" documentId="11_681854E4535A14AFE911B4B4445DCE3AC7C30972" xr6:coauthVersionLast="47" xr6:coauthVersionMax="47" xr10:uidLastSave="{3ADE07B3-0A28-4F79-B88A-D9A1B17BC453}"/>
  <bookViews>
    <workbookView xWindow="-93" yWindow="-93" windowWidth="25786" windowHeight="15466" xr2:uid="{00000000-000D-0000-FFFF-FFFF00000000}"/>
  </bookViews>
  <sheets>
    <sheet name="支票辨識紀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E18" i="1"/>
  <c r="I9" i="1"/>
  <c r="E9" i="1"/>
  <c r="I11" i="1"/>
  <c r="E11" i="1"/>
  <c r="I10" i="1"/>
  <c r="E10" i="1"/>
  <c r="I13" i="1"/>
  <c r="E13" i="1"/>
  <c r="I15" i="1"/>
  <c r="E15" i="1"/>
  <c r="I17" i="1"/>
  <c r="E17" i="1"/>
  <c r="I3" i="1"/>
  <c r="E3" i="1"/>
  <c r="I12" i="1"/>
  <c r="E12" i="1"/>
  <c r="I8" i="1"/>
  <c r="E8" i="1"/>
  <c r="I14" i="1"/>
  <c r="E14" i="1"/>
  <c r="I16" i="1"/>
  <c r="E16" i="1"/>
  <c r="I2" i="1"/>
  <c r="E2" i="1"/>
  <c r="I4" i="1"/>
  <c r="E4" i="1"/>
  <c r="I5" i="1"/>
  <c r="E5" i="1"/>
  <c r="I7" i="1"/>
  <c r="I6" i="1"/>
  <c r="E6" i="1"/>
</calcChain>
</file>

<file path=xl/sharedStrings.xml><?xml version="1.0" encoding="utf-8"?>
<sst xmlns="http://schemas.openxmlformats.org/spreadsheetml/2006/main" count="260" uniqueCount="136">
  <si>
    <t>收票日</t>
  </si>
  <si>
    <t>支票號碼</t>
  </si>
  <si>
    <t>到期日</t>
  </si>
  <si>
    <t>發票人</t>
  </si>
  <si>
    <t>客戶</t>
  </si>
  <si>
    <t>實收金額</t>
  </si>
  <si>
    <t>銀行</t>
  </si>
  <si>
    <t>分行</t>
  </si>
  <si>
    <t>銀行+分行</t>
  </si>
  <si>
    <t>支存帳號</t>
  </si>
  <si>
    <t>付款行</t>
  </si>
  <si>
    <t>付款行代號</t>
  </si>
  <si>
    <t>送票日</t>
  </si>
  <si>
    <t>送票銀行</t>
  </si>
  <si>
    <t>送票號碼</t>
  </si>
  <si>
    <t>備註</t>
  </si>
  <si>
    <t>用途</t>
  </si>
  <si>
    <t>OCR信心值</t>
  </si>
  <si>
    <t>需人工覆核</t>
  </si>
  <si>
    <t>覆核原因</t>
  </si>
  <si>
    <t>115/07/08</t>
  </si>
  <si>
    <t>SSA0031829</t>
  </si>
  <si>
    <t>115/07/20</t>
  </si>
  <si>
    <t>晉勝有限公司</t>
  </si>
  <si>
    <t>台中商業銀行</t>
  </si>
  <si>
    <t>秀水</t>
  </si>
  <si>
    <t>002586-1</t>
  </si>
  <si>
    <t>03-053-0422</t>
  </si>
  <si>
    <t>永豐</t>
  </si>
  <si>
    <t>15000100182967</t>
  </si>
  <si>
    <t>託收</t>
  </si>
  <si>
    <t>FALSE</t>
  </si>
  <si>
    <t>RA8850412</t>
  </si>
  <si>
    <t>115/07/31</t>
  </si>
  <si>
    <t>第一銀行</t>
  </si>
  <si>
    <t>楠梓</t>
  </si>
  <si>
    <t>030033995</t>
  </si>
  <si>
    <t>05-007-7073</t>
  </si>
  <si>
    <t>TRUE</t>
  </si>
  <si>
    <t>發票人印章無法辨識、客戶主檔未對應</t>
  </si>
  <si>
    <t>BY0682525</t>
  </si>
  <si>
    <t>115/07/15</t>
  </si>
  <si>
    <t>鑫銅有限公司</t>
  </si>
  <si>
    <t>中國信託銀行</t>
  </si>
  <si>
    <t>蘆洲</t>
  </si>
  <si>
    <t>303350005533</t>
  </si>
  <si>
    <t>01-822-0303</t>
  </si>
  <si>
    <t>禁背</t>
  </si>
  <si>
    <t>5820891</t>
  </si>
  <si>
    <t>115/07/14</t>
  </si>
  <si>
    <t>松騰金屬有限公司</t>
  </si>
  <si>
    <t>京城銀行</t>
  </si>
  <si>
    <t>西港</t>
  </si>
  <si>
    <t>015009681</t>
  </si>
  <si>
    <t>04-054-0353</t>
  </si>
  <si>
    <t>5820890</t>
  </si>
  <si>
    <t>115/06/30</t>
  </si>
  <si>
    <t>HS0110533</t>
  </si>
  <si>
    <t>115/09/06</t>
  </si>
  <si>
    <t>金展彈簧工業有限公司</t>
  </si>
  <si>
    <t>市政</t>
  </si>
  <si>
    <t>108350968888</t>
  </si>
  <si>
    <t>03-822-3108</t>
  </si>
  <si>
    <t>客戶主檔未對應</t>
  </si>
  <si>
    <t>FA6061468</t>
  </si>
  <si>
    <t>115/09/05</t>
  </si>
  <si>
    <t>廣州企業有限公司</t>
  </si>
  <si>
    <t>八里區農會</t>
  </si>
  <si>
    <t>龍形</t>
  </si>
  <si>
    <t>023100265</t>
  </si>
  <si>
    <t>01-790-0017</t>
  </si>
  <si>
    <t>客戶主檔名稱不一致（主檔為廣州企業社）</t>
  </si>
  <si>
    <t>FR8210996</t>
  </si>
  <si>
    <t>連全興國際有限公司</t>
  </si>
  <si>
    <t>彰化商業銀行</t>
  </si>
  <si>
    <t>北高雄</t>
  </si>
  <si>
    <t>032712330</t>
  </si>
  <si>
    <t>05-009-8164</t>
  </si>
  <si>
    <t>AT4114253</t>
  </si>
  <si>
    <t>115/08/31</t>
  </si>
  <si>
    <t>創奕金屬有限公司</t>
  </si>
  <si>
    <t>永豐銀行</t>
  </si>
  <si>
    <t>五股</t>
  </si>
  <si>
    <t>150-031-0018158-7</t>
  </si>
  <si>
    <t>01-807-1505</t>
  </si>
  <si>
    <t>FA1823384</t>
  </si>
  <si>
    <t>115/07/05</t>
  </si>
  <si>
    <t>秀水鄉農會</t>
  </si>
  <si>
    <t>農會</t>
  </si>
  <si>
    <t>10580-20</t>
  </si>
  <si>
    <t>03-614-0124</t>
  </si>
  <si>
    <t>發票人印章無法辨識、客戶主檔未對應（新帳號10580-20）</t>
  </si>
  <si>
    <t>TD7288870</t>
  </si>
  <si>
    <t>115/09/15</t>
  </si>
  <si>
    <t>寶鎬不銹鋼股份有限公司</t>
  </si>
  <si>
    <t>華南商業銀行</t>
  </si>
  <si>
    <t>永康</t>
  </si>
  <si>
    <t>160002871</t>
  </si>
  <si>
    <t>04-008-6228</t>
  </si>
  <si>
    <t>TD2204526</t>
  </si>
  <si>
    <t>啟賀工業有限公司</t>
  </si>
  <si>
    <t>鶯歌</t>
  </si>
  <si>
    <t>160011463</t>
  </si>
  <si>
    <t>01-008-1968</t>
  </si>
  <si>
    <t>AS2697389</t>
  </si>
  <si>
    <t>133-031-0036012-8</t>
  </si>
  <si>
    <t>01-807-1332</t>
  </si>
  <si>
    <t>發票人印章不易辨識、客戶主檔未對應</t>
  </si>
  <si>
    <t>RN1109270</t>
  </si>
  <si>
    <t>115/08/06</t>
  </si>
  <si>
    <t>傑誠有限公司</t>
  </si>
  <si>
    <t>溪湖</t>
  </si>
  <si>
    <t>03-60020-9-00</t>
  </si>
  <si>
    <t>03-009-6037</t>
  </si>
  <si>
    <t>RN1037730</t>
  </si>
  <si>
    <t>鹿港</t>
  </si>
  <si>
    <t>03-14275-5-0</t>
  </si>
  <si>
    <t>03-009-6013</t>
  </si>
  <si>
    <t>發票人為個人印章、無公司抬頭、客戶主檔未對應</t>
  </si>
  <si>
    <t>RB1916487</t>
  </si>
  <si>
    <t>內壢</t>
  </si>
  <si>
    <t>030101132</t>
  </si>
  <si>
    <t>07-007-2805</t>
  </si>
  <si>
    <t>發票人印章遭覆蓋不易辨識、客戶主檔未對應</t>
  </si>
  <si>
    <t>AS3361484</t>
  </si>
  <si>
    <t>裕煌成金屬有限公司</t>
  </si>
  <si>
    <t>新莊</t>
  </si>
  <si>
    <t>123-031-0018686-6</t>
  </si>
  <si>
    <t>01-807-1239</t>
  </si>
  <si>
    <t>交換</t>
    <phoneticPr fontId="2" type="noConversion"/>
  </si>
  <si>
    <t>台民</t>
    <phoneticPr fontId="2" type="noConversion"/>
  </si>
  <si>
    <t>甫承</t>
    <phoneticPr fontId="2" type="noConversion"/>
  </si>
  <si>
    <t>大和豐</t>
    <phoneticPr fontId="2" type="noConversion"/>
  </si>
  <si>
    <t>坤大</t>
    <phoneticPr fontId="2" type="noConversion"/>
  </si>
  <si>
    <t>誠友</t>
    <phoneticPr fontId="2" type="noConversion"/>
  </si>
  <si>
    <t>會億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</si>
</sst>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.7" x14ac:dyDescent="0.55000000000000004"/>
  <cols>
    <col min="1" max="1" width="11" customWidth="1"/>
    <col min="2" max="2" width="13" customWidth="1"/>
    <col min="3" max="3" width="11" customWidth="1"/>
    <col min="4" max="4" width="26" customWidth="1"/>
    <col min="5" max="5" width="20" customWidth="1"/>
    <col min="6" max="6" width="11" customWidth="1"/>
    <col min="7" max="7" width="15" customWidth="1"/>
    <col min="8" max="8" width="8" customWidth="1"/>
    <col min="9" max="9" width="12" customWidth="1"/>
    <col min="10" max="10" width="20" customWidth="1"/>
    <col min="11" max="11" width="8" customWidth="1"/>
    <col min="12" max="12" width="13" customWidth="1"/>
    <col min="13" max="14" width="10" customWidth="1"/>
    <col min="15" max="15" width="16" customWidth="1"/>
    <col min="16" max="17" width="8" customWidth="1"/>
    <col min="18" max="19" width="10" customWidth="1"/>
    <col min="20" max="20" width="34" customWidth="1"/>
  </cols>
  <sheetData>
    <row r="1" spans="1:20" ht="22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5000000000000004">
      <c r="A2" s="2" t="s">
        <v>20</v>
      </c>
      <c r="B2" s="2" t="s">
        <v>55</v>
      </c>
      <c r="C2" s="2" t="s">
        <v>56</v>
      </c>
      <c r="D2" s="2" t="s">
        <v>50</v>
      </c>
      <c r="E2" s="2" t="str">
        <f>D2</f>
        <v>松騰金屬有限公司</v>
      </c>
      <c r="F2" s="3">
        <v>331475</v>
      </c>
      <c r="G2" s="2" t="s">
        <v>51</v>
      </c>
      <c r="H2" s="2" t="s">
        <v>52</v>
      </c>
      <c r="I2" s="2" t="str">
        <f>LEFT(G2,2)&amp;H2</f>
        <v>京城西港</v>
      </c>
      <c r="J2" s="2" t="s">
        <v>53</v>
      </c>
      <c r="K2" s="2"/>
      <c r="L2" s="2" t="s">
        <v>54</v>
      </c>
      <c r="M2" s="2" t="s">
        <v>20</v>
      </c>
      <c r="N2" s="2" t="s">
        <v>28</v>
      </c>
      <c r="O2" s="2" t="s">
        <v>29</v>
      </c>
      <c r="P2" s="2"/>
      <c r="Q2" s="2" t="s">
        <v>30</v>
      </c>
      <c r="R2" s="4">
        <v>0.92</v>
      </c>
      <c r="S2" s="2" t="s">
        <v>31</v>
      </c>
      <c r="T2" s="2"/>
    </row>
    <row r="3" spans="1:20" x14ac:dyDescent="0.55000000000000004">
      <c r="A3" s="5" t="s">
        <v>20</v>
      </c>
      <c r="B3" s="5" t="s">
        <v>85</v>
      </c>
      <c r="C3" s="5" t="s">
        <v>86</v>
      </c>
      <c r="D3" s="5" t="s">
        <v>130</v>
      </c>
      <c r="E3" s="5" t="str">
        <f>D3</f>
        <v>台民</v>
      </c>
      <c r="F3" s="6">
        <v>67180</v>
      </c>
      <c r="G3" s="5" t="s">
        <v>87</v>
      </c>
      <c r="H3" s="5" t="s">
        <v>88</v>
      </c>
      <c r="I3" s="5" t="str">
        <f>LEFT(G3,2)&amp;H3</f>
        <v>秀水農會</v>
      </c>
      <c r="J3" s="5" t="s">
        <v>89</v>
      </c>
      <c r="K3" s="5"/>
      <c r="L3" s="5" t="s">
        <v>90</v>
      </c>
      <c r="M3" s="5" t="s">
        <v>20</v>
      </c>
      <c r="N3" s="5" t="s">
        <v>28</v>
      </c>
      <c r="O3" s="5" t="s">
        <v>29</v>
      </c>
      <c r="P3" s="5"/>
      <c r="Q3" s="5" t="s">
        <v>30</v>
      </c>
      <c r="R3" s="7">
        <v>0.75</v>
      </c>
      <c r="S3" s="5" t="s">
        <v>38</v>
      </c>
      <c r="T3" s="5" t="s">
        <v>91</v>
      </c>
    </row>
    <row r="4" spans="1:20" x14ac:dyDescent="0.55000000000000004">
      <c r="A4" s="2" t="s">
        <v>20</v>
      </c>
      <c r="B4" s="2" t="s">
        <v>48</v>
      </c>
      <c r="C4" s="2" t="s">
        <v>49</v>
      </c>
      <c r="D4" s="2" t="s">
        <v>50</v>
      </c>
      <c r="E4" s="2" t="str">
        <f>D4</f>
        <v>松騰金屬有限公司</v>
      </c>
      <c r="F4" s="3">
        <v>16574</v>
      </c>
      <c r="G4" s="2" t="s">
        <v>51</v>
      </c>
      <c r="H4" s="2" t="s">
        <v>52</v>
      </c>
      <c r="I4" s="2" t="str">
        <f>LEFT(G4,2)&amp;H4</f>
        <v>京城西港</v>
      </c>
      <c r="J4" s="2" t="s">
        <v>53</v>
      </c>
      <c r="K4" s="2"/>
      <c r="L4" s="2" t="s">
        <v>54</v>
      </c>
      <c r="M4" s="2" t="s">
        <v>20</v>
      </c>
      <c r="N4" s="2" t="s">
        <v>28</v>
      </c>
      <c r="O4" s="2" t="s">
        <v>29</v>
      </c>
      <c r="P4" s="2"/>
      <c r="Q4" s="2" t="s">
        <v>30</v>
      </c>
      <c r="R4" s="4">
        <v>0.92</v>
      </c>
      <c r="S4" s="2" t="s">
        <v>31</v>
      </c>
      <c r="T4" s="2"/>
    </row>
    <row r="5" spans="1:20" x14ac:dyDescent="0.55000000000000004">
      <c r="A5" s="2" t="s">
        <v>20</v>
      </c>
      <c r="B5" s="2" t="s">
        <v>40</v>
      </c>
      <c r="C5" s="2" t="s">
        <v>41</v>
      </c>
      <c r="D5" s="2" t="s">
        <v>42</v>
      </c>
      <c r="E5" s="2" t="str">
        <f>D5</f>
        <v>鑫銅有限公司</v>
      </c>
      <c r="F5" s="3">
        <v>111279</v>
      </c>
      <c r="G5" s="2" t="s">
        <v>43</v>
      </c>
      <c r="H5" s="2" t="s">
        <v>44</v>
      </c>
      <c r="I5" s="2" t="str">
        <f>LEFT(G5,2)&amp;H5</f>
        <v>中國蘆洲</v>
      </c>
      <c r="J5" s="2" t="s">
        <v>45</v>
      </c>
      <c r="K5" s="2"/>
      <c r="L5" s="2" t="s">
        <v>46</v>
      </c>
      <c r="M5" s="2" t="s">
        <v>20</v>
      </c>
      <c r="N5" s="2" t="s">
        <v>28</v>
      </c>
      <c r="O5" s="2" t="s">
        <v>29</v>
      </c>
      <c r="P5" s="2" t="s">
        <v>47</v>
      </c>
      <c r="Q5" s="2" t="s">
        <v>30</v>
      </c>
      <c r="R5" s="4">
        <v>0.93</v>
      </c>
      <c r="S5" s="2" t="s">
        <v>31</v>
      </c>
      <c r="T5" s="2"/>
    </row>
    <row r="6" spans="1:20" x14ac:dyDescent="0.55000000000000004">
      <c r="A6" s="2" t="s">
        <v>20</v>
      </c>
      <c r="B6" s="2" t="s">
        <v>21</v>
      </c>
      <c r="C6" s="2" t="s">
        <v>22</v>
      </c>
      <c r="D6" s="2" t="s">
        <v>23</v>
      </c>
      <c r="E6" s="2" t="str">
        <f>D6</f>
        <v>晉勝有限公司</v>
      </c>
      <c r="F6" s="3">
        <v>150380</v>
      </c>
      <c r="G6" s="2" t="s">
        <v>24</v>
      </c>
      <c r="H6" s="2" t="s">
        <v>25</v>
      </c>
      <c r="I6" s="2" t="str">
        <f>LEFT(G6,2)&amp;H6</f>
        <v>台中秀水</v>
      </c>
      <c r="J6" s="2" t="s">
        <v>26</v>
      </c>
      <c r="K6" s="2"/>
      <c r="L6" s="2" t="s">
        <v>27</v>
      </c>
      <c r="M6" s="2" t="s">
        <v>20</v>
      </c>
      <c r="N6" s="2" t="s">
        <v>28</v>
      </c>
      <c r="O6" s="2" t="s">
        <v>29</v>
      </c>
      <c r="P6" s="2"/>
      <c r="Q6" s="2" t="s">
        <v>30</v>
      </c>
      <c r="R6" s="4">
        <v>0.9</v>
      </c>
      <c r="S6" s="2" t="s">
        <v>31</v>
      </c>
      <c r="T6" s="2"/>
    </row>
    <row r="7" spans="1:20" x14ac:dyDescent="0.55000000000000004">
      <c r="A7" s="5" t="s">
        <v>20</v>
      </c>
      <c r="B7" s="5" t="s">
        <v>32</v>
      </c>
      <c r="C7" s="5" t="s">
        <v>33</v>
      </c>
      <c r="D7" s="5" t="s">
        <v>134</v>
      </c>
      <c r="E7" s="5" t="s">
        <v>135</v>
      </c>
      <c r="F7" s="6">
        <v>12143</v>
      </c>
      <c r="G7" s="5" t="s">
        <v>34</v>
      </c>
      <c r="H7" s="5" t="s">
        <v>35</v>
      </c>
      <c r="I7" s="5" t="str">
        <f>LEFT(G7,2)&amp;H7</f>
        <v>第一楠梓</v>
      </c>
      <c r="J7" s="5" t="s">
        <v>36</v>
      </c>
      <c r="K7" s="5"/>
      <c r="L7" s="5" t="s">
        <v>37</v>
      </c>
      <c r="M7" s="5" t="s">
        <v>20</v>
      </c>
      <c r="N7" s="5" t="s">
        <v>28</v>
      </c>
      <c r="O7" s="5" t="s">
        <v>29</v>
      </c>
      <c r="P7" s="5"/>
      <c r="Q7" s="5" t="s">
        <v>30</v>
      </c>
      <c r="R7" s="7">
        <v>0.72</v>
      </c>
      <c r="S7" s="5" t="s">
        <v>38</v>
      </c>
      <c r="T7" s="5" t="s">
        <v>39</v>
      </c>
    </row>
    <row r="8" spans="1:20" x14ac:dyDescent="0.55000000000000004">
      <c r="A8" s="2" t="s">
        <v>20</v>
      </c>
      <c r="B8" s="2" t="s">
        <v>72</v>
      </c>
      <c r="C8" s="2" t="s">
        <v>33</v>
      </c>
      <c r="D8" s="2" t="s">
        <v>73</v>
      </c>
      <c r="E8" s="2" t="str">
        <f>D8</f>
        <v>連全興國際有限公司</v>
      </c>
      <c r="F8" s="3">
        <v>116210</v>
      </c>
      <c r="G8" s="2" t="s">
        <v>74</v>
      </c>
      <c r="H8" s="2" t="s">
        <v>75</v>
      </c>
      <c r="I8" s="2" t="str">
        <f>LEFT(G8,2)&amp;H8</f>
        <v>彰化北高雄</v>
      </c>
      <c r="J8" s="2" t="s">
        <v>76</v>
      </c>
      <c r="K8" s="2"/>
      <c r="L8" s="2" t="s">
        <v>77</v>
      </c>
      <c r="M8" s="2" t="s">
        <v>20</v>
      </c>
      <c r="N8" s="2" t="s">
        <v>28</v>
      </c>
      <c r="O8" s="2" t="s">
        <v>29</v>
      </c>
      <c r="P8" s="2" t="s">
        <v>47</v>
      </c>
      <c r="Q8" s="2" t="s">
        <v>129</v>
      </c>
      <c r="R8" s="4">
        <v>0.92</v>
      </c>
      <c r="S8" s="2" t="s">
        <v>31</v>
      </c>
      <c r="T8" s="2"/>
    </row>
    <row r="9" spans="1:20" x14ac:dyDescent="0.55000000000000004">
      <c r="A9" s="5" t="s">
        <v>20</v>
      </c>
      <c r="B9" s="5" t="s">
        <v>119</v>
      </c>
      <c r="C9" s="5" t="s">
        <v>33</v>
      </c>
      <c r="D9" s="5" t="s">
        <v>131</v>
      </c>
      <c r="E9" s="5" t="str">
        <f>D9</f>
        <v>甫承</v>
      </c>
      <c r="F9" s="6">
        <v>107206</v>
      </c>
      <c r="G9" s="5" t="s">
        <v>34</v>
      </c>
      <c r="H9" s="5" t="s">
        <v>120</v>
      </c>
      <c r="I9" s="5" t="str">
        <f>LEFT(G9,2)&amp;H9</f>
        <v>第一內壢</v>
      </c>
      <c r="J9" s="5" t="s">
        <v>121</v>
      </c>
      <c r="K9" s="5"/>
      <c r="L9" s="5" t="s">
        <v>122</v>
      </c>
      <c r="M9" s="5" t="s">
        <v>20</v>
      </c>
      <c r="N9" s="5" t="s">
        <v>28</v>
      </c>
      <c r="O9" s="5" t="s">
        <v>29</v>
      </c>
      <c r="P9" s="5" t="s">
        <v>47</v>
      </c>
      <c r="Q9" s="2" t="s">
        <v>129</v>
      </c>
      <c r="R9" s="7">
        <v>0.8</v>
      </c>
      <c r="S9" s="5" t="s">
        <v>38</v>
      </c>
      <c r="T9" s="5" t="s">
        <v>123</v>
      </c>
    </row>
    <row r="10" spans="1:20" x14ac:dyDescent="0.55000000000000004">
      <c r="A10" s="2" t="s">
        <v>20</v>
      </c>
      <c r="B10" s="2" t="s">
        <v>108</v>
      </c>
      <c r="C10" s="2" t="s">
        <v>109</v>
      </c>
      <c r="D10" s="2" t="s">
        <v>110</v>
      </c>
      <c r="E10" s="2" t="str">
        <f>D10</f>
        <v>傑誠有限公司</v>
      </c>
      <c r="F10" s="3">
        <v>180329</v>
      </c>
      <c r="G10" s="2" t="s">
        <v>74</v>
      </c>
      <c r="H10" s="2" t="s">
        <v>111</v>
      </c>
      <c r="I10" s="2" t="str">
        <f>LEFT(G10,2)&amp;H10</f>
        <v>彰化溪湖</v>
      </c>
      <c r="J10" s="2" t="s">
        <v>112</v>
      </c>
      <c r="K10" s="2"/>
      <c r="L10" s="2" t="s">
        <v>113</v>
      </c>
      <c r="M10" s="2" t="s">
        <v>20</v>
      </c>
      <c r="N10" s="2" t="s">
        <v>28</v>
      </c>
      <c r="O10" s="2" t="s">
        <v>29</v>
      </c>
      <c r="P10" s="2" t="s">
        <v>47</v>
      </c>
      <c r="Q10" s="2" t="s">
        <v>129</v>
      </c>
      <c r="R10" s="4">
        <v>0.92</v>
      </c>
      <c r="S10" s="2" t="s">
        <v>31</v>
      </c>
      <c r="T10" s="2"/>
    </row>
    <row r="11" spans="1:20" x14ac:dyDescent="0.55000000000000004">
      <c r="A11" s="5" t="s">
        <v>20</v>
      </c>
      <c r="B11" s="5" t="s">
        <v>114</v>
      </c>
      <c r="C11" s="5" t="s">
        <v>109</v>
      </c>
      <c r="D11" s="5" t="s">
        <v>132</v>
      </c>
      <c r="E11" s="5" t="str">
        <f>D11</f>
        <v>大和豐</v>
      </c>
      <c r="F11" s="6">
        <v>9030</v>
      </c>
      <c r="G11" s="5" t="s">
        <v>74</v>
      </c>
      <c r="H11" s="5" t="s">
        <v>115</v>
      </c>
      <c r="I11" s="5" t="str">
        <f>LEFT(G11,2)&amp;H11</f>
        <v>彰化鹿港</v>
      </c>
      <c r="J11" s="5" t="s">
        <v>116</v>
      </c>
      <c r="K11" s="5"/>
      <c r="L11" s="5" t="s">
        <v>117</v>
      </c>
      <c r="M11" s="5" t="s">
        <v>20</v>
      </c>
      <c r="N11" s="5" t="s">
        <v>28</v>
      </c>
      <c r="O11" s="5" t="s">
        <v>29</v>
      </c>
      <c r="P11" s="5" t="s">
        <v>47</v>
      </c>
      <c r="Q11" s="2" t="s">
        <v>129</v>
      </c>
      <c r="R11" s="7">
        <v>0.8</v>
      </c>
      <c r="S11" s="5" t="s">
        <v>38</v>
      </c>
      <c r="T11" s="5" t="s">
        <v>118</v>
      </c>
    </row>
    <row r="12" spans="1:20" x14ac:dyDescent="0.55000000000000004">
      <c r="A12" s="2" t="s">
        <v>20</v>
      </c>
      <c r="B12" s="2" t="s">
        <v>78</v>
      </c>
      <c r="C12" s="2" t="s">
        <v>79</v>
      </c>
      <c r="D12" s="2" t="s">
        <v>80</v>
      </c>
      <c r="E12" s="2" t="str">
        <f>D12</f>
        <v>創奕金屬有限公司</v>
      </c>
      <c r="F12" s="3">
        <v>15670</v>
      </c>
      <c r="G12" s="2" t="s">
        <v>81</v>
      </c>
      <c r="H12" s="2" t="s">
        <v>82</v>
      </c>
      <c r="I12" s="2" t="str">
        <f>LEFT(G12,2)&amp;H12</f>
        <v>永豐五股</v>
      </c>
      <c r="J12" s="2" t="s">
        <v>83</v>
      </c>
      <c r="K12" s="2"/>
      <c r="L12" s="2" t="s">
        <v>84</v>
      </c>
      <c r="M12" s="2" t="s">
        <v>20</v>
      </c>
      <c r="N12" s="2" t="s">
        <v>28</v>
      </c>
      <c r="O12" s="2" t="s">
        <v>29</v>
      </c>
      <c r="P12" s="2"/>
      <c r="Q12" s="2" t="s">
        <v>129</v>
      </c>
      <c r="R12" s="4">
        <v>0.93</v>
      </c>
      <c r="S12" s="2" t="s">
        <v>31</v>
      </c>
      <c r="T12" s="2"/>
    </row>
    <row r="13" spans="1:20" x14ac:dyDescent="0.55000000000000004">
      <c r="A13" s="5" t="s">
        <v>20</v>
      </c>
      <c r="B13" s="5" t="s">
        <v>104</v>
      </c>
      <c r="C13" s="5" t="s">
        <v>79</v>
      </c>
      <c r="D13" s="5" t="s">
        <v>133</v>
      </c>
      <c r="E13" s="5" t="str">
        <f>D13</f>
        <v>坤大</v>
      </c>
      <c r="F13" s="6">
        <v>43432</v>
      </c>
      <c r="G13" s="5" t="s">
        <v>81</v>
      </c>
      <c r="H13" s="5" t="s">
        <v>44</v>
      </c>
      <c r="I13" s="5" t="str">
        <f>LEFT(G13,2)&amp;H13</f>
        <v>永豐蘆洲</v>
      </c>
      <c r="J13" s="5" t="s">
        <v>105</v>
      </c>
      <c r="K13" s="5"/>
      <c r="L13" s="5" t="s">
        <v>106</v>
      </c>
      <c r="M13" s="5" t="s">
        <v>20</v>
      </c>
      <c r="N13" s="5" t="s">
        <v>28</v>
      </c>
      <c r="O13" s="5" t="s">
        <v>29</v>
      </c>
      <c r="P13" s="5" t="s">
        <v>47</v>
      </c>
      <c r="Q13" s="2" t="s">
        <v>129</v>
      </c>
      <c r="R13" s="7">
        <v>0.78</v>
      </c>
      <c r="S13" s="5" t="s">
        <v>38</v>
      </c>
      <c r="T13" s="5" t="s">
        <v>107</v>
      </c>
    </row>
    <row r="14" spans="1:20" x14ac:dyDescent="0.55000000000000004">
      <c r="A14" s="5" t="s">
        <v>20</v>
      </c>
      <c r="B14" s="5" t="s">
        <v>64</v>
      </c>
      <c r="C14" s="5" t="s">
        <v>65</v>
      </c>
      <c r="D14" s="5" t="s">
        <v>66</v>
      </c>
      <c r="E14" s="5" t="str">
        <f>D14</f>
        <v>廣州企業有限公司</v>
      </c>
      <c r="F14" s="6">
        <v>2873</v>
      </c>
      <c r="G14" s="5" t="s">
        <v>67</v>
      </c>
      <c r="H14" s="5" t="s">
        <v>68</v>
      </c>
      <c r="I14" s="5" t="str">
        <f>LEFT(G14,2)&amp;H14</f>
        <v>八里龍形</v>
      </c>
      <c r="J14" s="5" t="s">
        <v>69</v>
      </c>
      <c r="K14" s="5"/>
      <c r="L14" s="5" t="s">
        <v>70</v>
      </c>
      <c r="M14" s="5" t="s">
        <v>20</v>
      </c>
      <c r="N14" s="5" t="s">
        <v>28</v>
      </c>
      <c r="O14" s="5" t="s">
        <v>29</v>
      </c>
      <c r="P14" s="5" t="s">
        <v>47</v>
      </c>
      <c r="Q14" s="2" t="s">
        <v>129</v>
      </c>
      <c r="R14" s="7">
        <v>0.88</v>
      </c>
      <c r="S14" s="5" t="s">
        <v>38</v>
      </c>
      <c r="T14" s="5" t="s">
        <v>71</v>
      </c>
    </row>
    <row r="15" spans="1:20" x14ac:dyDescent="0.55000000000000004">
      <c r="A15" s="2" t="s">
        <v>20</v>
      </c>
      <c r="B15" s="2" t="s">
        <v>99</v>
      </c>
      <c r="C15" s="2" t="s">
        <v>65</v>
      </c>
      <c r="D15" s="2" t="s">
        <v>100</v>
      </c>
      <c r="E15" s="2" t="str">
        <f>D15</f>
        <v>啟賀工業有限公司</v>
      </c>
      <c r="F15" s="3">
        <v>223304</v>
      </c>
      <c r="G15" s="2" t="s">
        <v>95</v>
      </c>
      <c r="H15" s="2" t="s">
        <v>101</v>
      </c>
      <c r="I15" s="2" t="str">
        <f>LEFT(G15,2)&amp;H15</f>
        <v>華南鶯歌</v>
      </c>
      <c r="J15" s="2" t="s">
        <v>102</v>
      </c>
      <c r="K15" s="2"/>
      <c r="L15" s="2" t="s">
        <v>103</v>
      </c>
      <c r="M15" s="2" t="s">
        <v>20</v>
      </c>
      <c r="N15" s="2" t="s">
        <v>28</v>
      </c>
      <c r="O15" s="2" t="s">
        <v>29</v>
      </c>
      <c r="P15" s="2" t="s">
        <v>47</v>
      </c>
      <c r="Q15" s="2" t="s">
        <v>129</v>
      </c>
      <c r="R15" s="4">
        <v>0.92</v>
      </c>
      <c r="S15" s="2" t="s">
        <v>31</v>
      </c>
      <c r="T15" s="2"/>
    </row>
    <row r="16" spans="1:20" x14ac:dyDescent="0.55000000000000004">
      <c r="A16" s="5" t="s">
        <v>20</v>
      </c>
      <c r="B16" s="5" t="s">
        <v>57</v>
      </c>
      <c r="C16" s="5" t="s">
        <v>58</v>
      </c>
      <c r="D16" s="5" t="s">
        <v>59</v>
      </c>
      <c r="E16" s="5" t="str">
        <f>D16</f>
        <v>金展彈簧工業有限公司</v>
      </c>
      <c r="F16" s="6">
        <v>132064</v>
      </c>
      <c r="G16" s="5" t="s">
        <v>43</v>
      </c>
      <c r="H16" s="5" t="s">
        <v>60</v>
      </c>
      <c r="I16" s="5" t="str">
        <f>LEFT(G16,2)&amp;H16</f>
        <v>中國市政</v>
      </c>
      <c r="J16" s="5" t="s">
        <v>61</v>
      </c>
      <c r="K16" s="5"/>
      <c r="L16" s="5" t="s">
        <v>62</v>
      </c>
      <c r="M16" s="5" t="s">
        <v>20</v>
      </c>
      <c r="N16" s="5" t="s">
        <v>28</v>
      </c>
      <c r="O16" s="5" t="s">
        <v>29</v>
      </c>
      <c r="P16" s="5" t="s">
        <v>47</v>
      </c>
      <c r="Q16" s="2" t="s">
        <v>129</v>
      </c>
      <c r="R16" s="7">
        <v>0.9</v>
      </c>
      <c r="S16" s="5" t="s">
        <v>38</v>
      </c>
      <c r="T16" s="5" t="s">
        <v>63</v>
      </c>
    </row>
    <row r="17" spans="1:20" x14ac:dyDescent="0.55000000000000004">
      <c r="A17" s="2" t="s">
        <v>20</v>
      </c>
      <c r="B17" s="2" t="s">
        <v>92</v>
      </c>
      <c r="C17" s="2" t="s">
        <v>93</v>
      </c>
      <c r="D17" s="2" t="s">
        <v>94</v>
      </c>
      <c r="E17" s="2" t="str">
        <f>D17</f>
        <v>寶鎬不銹鋼股份有限公司</v>
      </c>
      <c r="F17" s="3">
        <v>97067</v>
      </c>
      <c r="G17" s="2" t="s">
        <v>95</v>
      </c>
      <c r="H17" s="2" t="s">
        <v>96</v>
      </c>
      <c r="I17" s="2" t="str">
        <f>LEFT(G17,2)&amp;H17</f>
        <v>華南永康</v>
      </c>
      <c r="J17" s="2" t="s">
        <v>97</v>
      </c>
      <c r="K17" s="2"/>
      <c r="L17" s="2" t="s">
        <v>98</v>
      </c>
      <c r="M17" s="2" t="s">
        <v>20</v>
      </c>
      <c r="N17" s="2" t="s">
        <v>28</v>
      </c>
      <c r="O17" s="2" t="s">
        <v>29</v>
      </c>
      <c r="P17" s="2" t="s">
        <v>47</v>
      </c>
      <c r="Q17" s="2" t="s">
        <v>129</v>
      </c>
      <c r="R17" s="4">
        <v>0.92</v>
      </c>
      <c r="S17" s="2" t="s">
        <v>31</v>
      </c>
      <c r="T17" s="2"/>
    </row>
    <row r="18" spans="1:20" x14ac:dyDescent="0.55000000000000004">
      <c r="A18" s="2" t="s">
        <v>20</v>
      </c>
      <c r="B18" s="2" t="s">
        <v>124</v>
      </c>
      <c r="C18" s="2" t="s">
        <v>93</v>
      </c>
      <c r="D18" s="2" t="s">
        <v>125</v>
      </c>
      <c r="E18" s="2" t="str">
        <f>D18</f>
        <v>裕煌成金屬有限公司</v>
      </c>
      <c r="F18" s="3">
        <v>1072017</v>
      </c>
      <c r="G18" s="2" t="s">
        <v>81</v>
      </c>
      <c r="H18" s="2" t="s">
        <v>126</v>
      </c>
      <c r="I18" s="2" t="str">
        <f>LEFT(G18,2)&amp;H18</f>
        <v>永豐新莊</v>
      </c>
      <c r="J18" s="2" t="s">
        <v>127</v>
      </c>
      <c r="K18" s="2"/>
      <c r="L18" s="2" t="s">
        <v>128</v>
      </c>
      <c r="M18" s="2" t="s">
        <v>20</v>
      </c>
      <c r="N18" s="2" t="s">
        <v>28</v>
      </c>
      <c r="O18" s="2" t="s">
        <v>29</v>
      </c>
      <c r="P18" s="2" t="s">
        <v>47</v>
      </c>
      <c r="Q18" s="2" t="s">
        <v>129</v>
      </c>
      <c r="R18" s="4">
        <v>0.93</v>
      </c>
      <c r="S18" s="2" t="s">
        <v>31</v>
      </c>
      <c r="T18" s="2"/>
    </row>
  </sheetData>
  <sortState xmlns:xlrd2="http://schemas.microsoft.com/office/spreadsheetml/2017/richdata2" ref="A2:T18">
    <sortCondition ref="C1:C1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支票辨識紀錄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語葳 吳</cp:lastModifiedBy>
  <dcterms:created xsi:type="dcterms:W3CDTF">2026-07-08T07:26:51Z</dcterms:created>
  <dcterms:modified xsi:type="dcterms:W3CDTF">2026-07-08T08:25:41Z</dcterms:modified>
</cp:coreProperties>
</file>