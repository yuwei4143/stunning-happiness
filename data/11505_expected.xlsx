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3" yWindow="-93" windowWidth="25786" windowHeight="15466" tabRatio="289" firstSheet="0" activeTab="0" autoFilterDateGrouping="1"/>
  </bookViews>
  <sheets>
    <sheet xmlns:r="http://schemas.openxmlformats.org/officeDocument/2006/relationships" name="11505" sheetId="1" state="visible" r:id="rId1"/>
    <sheet xmlns:r="http://schemas.openxmlformats.org/officeDocument/2006/relationships" name="st22026061017190014214911577110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m/d;@"/>
    <numFmt numFmtId="165" formatCode="_-&quot;$&quot;* #,##0_-;\-&quot;$&quot;* #,##0_-;_-&quot;$&quot;* &quot;-&quot;??_-;_-@_-"/>
    <numFmt numFmtId="166" formatCode="[$-800404]e/m/d;@"/>
    <numFmt numFmtId="167" formatCode="0_);[Red]\(0\)"/>
    <numFmt numFmtId="168" formatCode="m&quot;月&quot;d&quot;日&quot;"/>
    <numFmt numFmtId="169" formatCode="_-&quot;$&quot;* #,##0_-;\-&quot;$&quot;* #,##0_-;_-&quot;$&quot;* &quot;-&quot;_-;_-@_-"/>
    <numFmt numFmtId="170" formatCode="[$-404]e/m/d;@"/>
    <numFmt numFmtId="171" formatCode="yyyy/mm/dd"/>
    <numFmt numFmtId="172" formatCode="yyyy/m/d"/>
  </numFmts>
  <fonts count="31"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b val="1"/>
      <color theme="1"/>
      <sz val="12"/>
      <scheme val="minor"/>
    </font>
    <font>
      <name val="新細明體"/>
      <charset val="136"/>
      <family val="1"/>
      <b val="1"/>
      <color theme="0"/>
      <sz val="12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sz val="10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b val="1"/>
      <color theme="3"/>
      <sz val="18"/>
      <scheme val="major"/>
    </font>
    <font>
      <name val="新細明體"/>
      <charset val="136"/>
      <family val="1"/>
      <b val="1"/>
      <color theme="3"/>
      <sz val="15"/>
      <scheme val="minor"/>
    </font>
    <font>
      <name val="新細明體"/>
      <charset val="136"/>
      <family val="1"/>
      <b val="1"/>
      <color theme="3"/>
      <sz val="13"/>
      <scheme val="minor"/>
    </font>
    <font>
      <name val="新細明體"/>
      <charset val="136"/>
      <family val="1"/>
      <b val="1"/>
      <color theme="3"/>
      <sz val="11"/>
      <scheme val="minor"/>
    </font>
    <font>
      <name val="新細明體"/>
      <charset val="136"/>
      <family val="1"/>
      <color rgb="FF006100"/>
      <sz val="12"/>
      <scheme val="minor"/>
    </font>
    <font>
      <name val="新細明體"/>
      <charset val="136"/>
      <family val="1"/>
      <color rgb="FF9C0006"/>
      <sz val="12"/>
      <scheme val="minor"/>
    </font>
    <font>
      <name val="新細明體"/>
      <charset val="136"/>
      <family val="1"/>
      <color rgb="FF9C6500"/>
      <sz val="12"/>
      <scheme val="minor"/>
    </font>
    <font>
      <name val="新細明體"/>
      <charset val="136"/>
      <family val="1"/>
      <color rgb="FF3F3F76"/>
      <sz val="12"/>
      <scheme val="minor"/>
    </font>
    <font>
      <name val="新細明體"/>
      <charset val="136"/>
      <family val="1"/>
      <b val="1"/>
      <color rgb="FF3F3F3F"/>
      <sz val="12"/>
      <scheme val="minor"/>
    </font>
    <font>
      <name val="新細明體"/>
      <charset val="136"/>
      <family val="1"/>
      <b val="1"/>
      <color rgb="FFFA7D00"/>
      <sz val="12"/>
      <scheme val="minor"/>
    </font>
    <font>
      <name val="新細明體"/>
      <charset val="136"/>
      <family val="1"/>
      <color rgb="FFFA7D00"/>
      <sz val="12"/>
      <scheme val="minor"/>
    </font>
    <font>
      <name val="新細明體"/>
      <charset val="136"/>
      <family val="1"/>
      <color rgb="FFFF0000"/>
      <sz val="12"/>
      <scheme val="minor"/>
    </font>
    <font>
      <name val="新細明體"/>
      <charset val="136"/>
      <family val="1"/>
      <i val="1"/>
      <color rgb="FF7F7F7F"/>
      <sz val="12"/>
      <scheme val="minor"/>
    </font>
    <font>
      <name val="新細明體"/>
      <charset val="136"/>
      <family val="1"/>
      <color theme="0"/>
      <sz val="12"/>
      <scheme val="minor"/>
    </font>
    <font>
      <name val="新細明體"/>
      <charset val="136"/>
      <family val="1"/>
      <sz val="10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sz val="9"/>
      <scheme val="minor"/>
    </font>
    <font>
      <name val="標楷體"/>
      <charset val="136"/>
      <family val="4"/>
      <sz val="14"/>
    </font>
    <font>
      <name val="Times New Roman"/>
      <family val="1"/>
      <sz val="10"/>
    </font>
    <font>
      <name val="微軟正黑體"/>
      <charset val="136"/>
      <family val="2"/>
      <color theme="1"/>
      <sz val="12"/>
    </font>
    <font>
      <name val="微軟正黑體"/>
      <charset val="136"/>
      <family val="2"/>
      <sz val="12"/>
    </font>
    <font>
      <name val="微軟正黑體"/>
      <charset val="136"/>
      <family val="2"/>
      <b val="1"/>
      <sz val="12"/>
    </font>
    <font>
      <name val="新細明體"/>
      <charset val="136"/>
      <family val="1"/>
      <b val="1"/>
      <color rgb="FFFF0000"/>
      <sz val="28"/>
      <scheme val="minor"/>
    </font>
    <font>
      <name val="標楷體"/>
      <charset val="136"/>
      <family val="4"/>
      <sz val="10"/>
    </font>
    <font>
      <name val="新細明體"/>
      <charset val="136"/>
      <family val="1"/>
      <b val="1"/>
      <sz val="10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3"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9" borderId="0" applyAlignment="1">
      <alignment vertical="center"/>
    </xf>
    <xf numFmtId="0" fontId="5" fillId="13" borderId="0" applyAlignment="1">
      <alignment vertical="center"/>
    </xf>
    <xf numFmtId="0" fontId="5" fillId="17" borderId="0" applyAlignment="1">
      <alignment vertical="center"/>
    </xf>
    <xf numFmtId="0" fontId="5" fillId="21" borderId="0" applyAlignment="1">
      <alignment vertical="center"/>
    </xf>
    <xf numFmtId="0" fontId="5" fillId="25" borderId="0" applyAlignment="1">
      <alignment vertical="center"/>
    </xf>
    <xf numFmtId="0" fontId="5" fillId="29" borderId="0" applyAlignment="1">
      <alignment vertical="center"/>
    </xf>
    <xf numFmtId="0" fontId="5" fillId="10" borderId="0" applyAlignment="1">
      <alignment vertical="center"/>
    </xf>
    <xf numFmtId="0" fontId="5" fillId="14" borderId="0" applyAlignment="1">
      <alignment vertical="center"/>
    </xf>
    <xf numFmtId="0" fontId="5" fillId="18" borderId="0" applyAlignment="1">
      <alignment vertical="center"/>
    </xf>
    <xf numFmtId="0" fontId="5" fillId="22" borderId="0" applyAlignment="1">
      <alignment vertical="center"/>
    </xf>
    <xf numFmtId="0" fontId="5" fillId="26" borderId="0" applyAlignment="1">
      <alignment vertical="center"/>
    </xf>
    <xf numFmtId="0" fontId="5" fillId="30" borderId="0" applyAlignment="1">
      <alignment vertical="center"/>
    </xf>
    <xf numFmtId="0" fontId="19" fillId="11" borderId="0" applyAlignment="1">
      <alignment vertical="center"/>
    </xf>
    <xf numFmtId="0" fontId="19" fillId="15" borderId="0" applyAlignment="1">
      <alignment vertical="center"/>
    </xf>
    <xf numFmtId="0" fontId="19" fillId="19" borderId="0" applyAlignment="1">
      <alignment vertical="center"/>
    </xf>
    <xf numFmtId="0" fontId="19" fillId="23" borderId="0" applyAlignment="1">
      <alignment vertical="center"/>
    </xf>
    <xf numFmtId="0" fontId="19" fillId="27" borderId="0" applyAlignment="1">
      <alignment vertical="center"/>
    </xf>
    <xf numFmtId="0" fontId="19" fillId="31" borderId="0" applyAlignment="1">
      <alignment vertical="center"/>
    </xf>
    <xf numFmtId="0" fontId="12" fillId="4" borderId="0" applyAlignment="1">
      <alignment vertical="center"/>
    </xf>
    <xf numFmtId="0" fontId="1" fillId="0" borderId="10" applyAlignment="1">
      <alignment vertical="center"/>
    </xf>
    <xf numFmtId="0" fontId="10" fillId="2" borderId="0" applyAlignment="1">
      <alignment vertical="center"/>
    </xf>
    <xf numFmtId="0" fontId="15" fillId="6" borderId="6" applyAlignment="1">
      <alignment vertical="center"/>
    </xf>
    <xf numFmtId="0" fontId="16" fillId="0" borderId="8" applyAlignment="1">
      <alignment vertical="center"/>
    </xf>
    <xf numFmtId="0" fontId="18" fillId="0" borderId="0" applyAlignment="1">
      <alignment vertical="center"/>
    </xf>
    <xf numFmtId="0" fontId="19" fillId="8" borderId="0" applyAlignment="1">
      <alignment vertical="center"/>
    </xf>
    <xf numFmtId="0" fontId="19" fillId="12" borderId="0" applyAlignment="1">
      <alignment vertical="center"/>
    </xf>
    <xf numFmtId="0" fontId="19" fillId="16" borderId="0" applyAlignment="1">
      <alignment vertical="center"/>
    </xf>
    <xf numFmtId="0" fontId="19" fillId="20" borderId="0" applyAlignment="1">
      <alignment vertical="center"/>
    </xf>
    <xf numFmtId="0" fontId="19" fillId="24" borderId="0" applyAlignment="1">
      <alignment vertical="center"/>
    </xf>
    <xf numFmtId="0" fontId="19" fillId="28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3" fillId="5" borderId="6" applyAlignment="1">
      <alignment vertical="center"/>
    </xf>
    <xf numFmtId="0" fontId="14" fillId="6" borderId="7" applyAlignment="1">
      <alignment vertical="center"/>
    </xf>
    <xf numFmtId="0" fontId="2" fillId="7" borderId="9" applyAlignment="1">
      <alignment vertical="center"/>
    </xf>
    <xf numFmtId="0" fontId="11" fillId="3" borderId="0" applyAlignment="1">
      <alignment vertical="center"/>
    </xf>
    <xf numFmtId="0" fontId="17" fillId="0" borderId="0" applyAlignment="1">
      <alignment vertical="center"/>
    </xf>
    <xf numFmtId="44" fontId="5" fillId="0" borderId="0" applyAlignment="1">
      <alignment vertical="center"/>
    </xf>
  </cellStyleXfs>
  <cellXfs count="281"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1">
      <alignment vertical="center"/>
    </xf>
    <xf numFmtId="0" fontId="20" fillId="0" borderId="0" applyAlignment="1" pivotButton="0" quotePrefix="0" xfId="1">
      <alignment horizontal="right" vertical="center"/>
    </xf>
    <xf numFmtId="0" fontId="20" fillId="0" borderId="0" applyAlignment="1" pivotButton="0" quotePrefix="0" xfId="1">
      <alignment horizontal="left" vertical="center"/>
    </xf>
    <xf numFmtId="49" fontId="20" fillId="0" borderId="0" applyAlignment="1" pivotButton="0" quotePrefix="0" xfId="1">
      <alignment horizontal="left" vertical="center"/>
    </xf>
    <xf numFmtId="0" fontId="20" fillId="0" borderId="1" applyAlignment="1" pivotButton="0" quotePrefix="0" xfId="1">
      <alignment horizontal="center" vertical="center"/>
    </xf>
    <xf numFmtId="0" fontId="20" fillId="0" borderId="1" applyAlignment="1" pivotButton="0" quotePrefix="0" xfId="1">
      <alignment horizontal="left" vertical="center"/>
    </xf>
    <xf numFmtId="0" fontId="20" fillId="0" borderId="1" applyAlignment="1" pivotButton="0" quotePrefix="0" xfId="1">
      <alignment horizontal="left" vertical="center" wrapText="1"/>
    </xf>
    <xf numFmtId="0" fontId="20" fillId="0" borderId="1" applyAlignment="1" pivotButton="0" quotePrefix="0" xfId="1">
      <alignment horizontal="right" vertical="center"/>
    </xf>
    <xf numFmtId="49" fontId="20" fillId="0" borderId="1" applyAlignment="1" pivotButton="0" quotePrefix="0" xfId="1">
      <alignment horizontal="center" vertical="center"/>
    </xf>
    <xf numFmtId="0" fontId="20" fillId="0" borderId="2" applyAlignment="1" pivotButton="0" quotePrefix="0" xfId="1">
      <alignment horizontal="center" vertical="center"/>
    </xf>
    <xf numFmtId="0" fontId="20" fillId="33" borderId="1" applyAlignment="1" pivotButton="0" quotePrefix="0" xfId="1">
      <alignment horizontal="center" vertical="center"/>
    </xf>
    <xf numFmtId="49" fontId="20" fillId="33" borderId="1" applyAlignment="1" pivotButton="0" quotePrefix="0" xfId="1">
      <alignment horizontal="center" vertical="center"/>
    </xf>
    <xf numFmtId="0" fontId="20" fillId="33" borderId="2" applyAlignment="1" pivotButton="0" quotePrefix="0" xfId="1">
      <alignment horizontal="center" vertical="center"/>
    </xf>
    <xf numFmtId="0" fontId="20" fillId="32" borderId="23" applyAlignment="1" applyProtection="1" pivotButton="0" quotePrefix="0" xfId="1">
      <alignment horizontal="left" vertical="center"/>
      <protection locked="0" hidden="0"/>
    </xf>
    <xf numFmtId="0" fontId="20" fillId="32" borderId="11" applyAlignment="1" applyProtection="1" pivotButton="0" quotePrefix="0" xfId="1">
      <alignment horizontal="left" vertical="center"/>
      <protection locked="0" hidden="0"/>
    </xf>
    <xf numFmtId="49" fontId="20" fillId="32" borderId="11" applyAlignment="1" applyProtection="1" pivotButton="0" quotePrefix="0" xfId="1">
      <alignment horizontal="left" vertical="center"/>
      <protection locked="0" hidden="0"/>
    </xf>
    <xf numFmtId="0" fontId="20" fillId="32" borderId="11" applyAlignment="1" pivotButton="0" quotePrefix="0" xfId="1">
      <alignment horizontal="right" vertical="center"/>
    </xf>
    <xf numFmtId="0" fontId="24" fillId="32" borderId="11" applyAlignment="1" pivotButton="0" quotePrefix="0" xfId="1">
      <alignment horizontal="right" vertical="center"/>
    </xf>
    <xf numFmtId="0" fontId="24" fillId="32" borderId="1" applyAlignment="1" pivotButton="0" quotePrefix="0" xfId="1">
      <alignment horizontal="right" vertical="center"/>
    </xf>
    <xf numFmtId="0" fontId="29" fillId="0" borderId="0" applyAlignment="1" pivotButton="0" quotePrefix="0" xfId="1">
      <alignment vertical="center"/>
    </xf>
    <xf numFmtId="0" fontId="30" fillId="0" borderId="0" applyAlignment="1" pivotButton="0" quotePrefix="0" xfId="1">
      <alignment vertical="center"/>
    </xf>
    <xf numFmtId="0" fontId="20" fillId="0" borderId="11" applyAlignment="1" pivotButton="0" quotePrefix="0" xfId="1">
      <alignment horizontal="left" vertical="center"/>
    </xf>
    <xf numFmtId="49" fontId="20" fillId="0" borderId="11" applyAlignment="1" pivotButton="0" quotePrefix="0" xfId="1">
      <alignment horizontal="left" vertical="center"/>
    </xf>
    <xf numFmtId="0" fontId="21" fillId="0" borderId="0" applyAlignment="1" pivotButton="0" quotePrefix="0" xfId="0">
      <alignment vertical="center" shrinkToFit="1"/>
    </xf>
    <xf numFmtId="0" fontId="21" fillId="0" borderId="17" applyAlignment="1" pivotButton="0" quotePrefix="0" xfId="0">
      <alignment horizontal="center" vertical="center" shrinkToFit="1"/>
    </xf>
    <xf numFmtId="49" fontId="21" fillId="0" borderId="18" applyAlignment="1" pivotButton="0" quotePrefix="0" xfId="0">
      <alignment horizontal="center" vertical="center" shrinkToFit="1"/>
    </xf>
    <xf numFmtId="164" fontId="21" fillId="0" borderId="19" applyAlignment="1" pivotButton="0" quotePrefix="0" xfId="0">
      <alignment horizontal="center" vertical="center" shrinkToFit="1"/>
    </xf>
    <xf numFmtId="165" fontId="21" fillId="0" borderId="19" applyAlignment="1" pivotButton="0" quotePrefix="0" xfId="42">
      <alignment horizontal="center" vertical="center" shrinkToFit="1"/>
    </xf>
    <xf numFmtId="165" fontId="21" fillId="0" borderId="20" applyAlignment="1" pivotButton="0" quotePrefix="0" xfId="0">
      <alignment horizontal="center" vertical="center" shrinkToFit="1"/>
    </xf>
    <xf numFmtId="0" fontId="27" fillId="0" borderId="27" applyAlignment="1" pivotButton="0" quotePrefix="0" xfId="0">
      <alignment horizontal="center" vertical="center" shrinkToFit="1"/>
    </xf>
    <xf numFmtId="0" fontId="27" fillId="0" borderId="19" applyAlignment="1" pivotButton="0" quotePrefix="0" xfId="0">
      <alignment horizontal="left" vertical="center" shrinkToFit="1"/>
    </xf>
    <xf numFmtId="49" fontId="27" fillId="0" borderId="19" applyAlignment="1" pivotButton="0" quotePrefix="0" xfId="0">
      <alignment horizontal="center" vertical="center" shrinkToFit="1"/>
    </xf>
    <xf numFmtId="165" fontId="27" fillId="0" borderId="19" applyAlignment="1" pivotButton="0" quotePrefix="0" xfId="42">
      <alignment horizontal="center" vertical="center" shrinkToFit="1"/>
    </xf>
    <xf numFmtId="0" fontId="27" fillId="0" borderId="19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165" fontId="20" fillId="0" borderId="1" applyAlignment="1" pivotButton="0" quotePrefix="0" xfId="1">
      <alignment horizontal="right" vertical="center"/>
    </xf>
    <xf numFmtId="165" fontId="4" fillId="0" borderId="12" applyAlignment="1" pivotButton="0" quotePrefix="0" xfId="1">
      <alignment horizontal="right" vertical="center"/>
    </xf>
    <xf numFmtId="49" fontId="26" fillId="0" borderId="21" applyAlignment="1" pivotButton="0" quotePrefix="0" xfId="1">
      <alignment horizontal="left" vertical="center"/>
    </xf>
    <xf numFmtId="0" fontId="26" fillId="0" borderId="13" applyAlignment="1" pivotButton="0" quotePrefix="0" xfId="1">
      <alignment horizontal="left" vertical="center"/>
    </xf>
    <xf numFmtId="166" fontId="26" fillId="0" borderId="13" applyAlignment="1" pivotButton="0" quotePrefix="0" xfId="1">
      <alignment horizontal="center" vertical="center"/>
    </xf>
    <xf numFmtId="165" fontId="26" fillId="0" borderId="13" applyAlignment="1" pivotButton="0" quotePrefix="0" xfId="42">
      <alignment horizontal="right" vertical="center"/>
    </xf>
    <xf numFmtId="167" fontId="26" fillId="0" borderId="13" applyAlignment="1" pivotButton="0" quotePrefix="0" xfId="1">
      <alignment horizontal="left" vertical="center"/>
    </xf>
    <xf numFmtId="0" fontId="3" fillId="0" borderId="0" applyAlignment="1" pivotButton="0" quotePrefix="0" xfId="0">
      <alignment vertical="center" shrinkToFit="1"/>
    </xf>
    <xf numFmtId="49" fontId="25" fillId="0" borderId="21" applyAlignment="1" pivotButton="0" quotePrefix="0" xfId="0">
      <alignment vertical="center"/>
    </xf>
    <xf numFmtId="49" fontId="26" fillId="0" borderId="13" applyAlignment="1" pivotButton="0" quotePrefix="0" xfId="1">
      <alignment horizontal="left" vertical="center"/>
    </xf>
    <xf numFmtId="165" fontId="4" fillId="0" borderId="12" applyAlignment="1" pivotButton="0" quotePrefix="0" xfId="1">
      <alignment horizontal="right" vertical="center" shrinkToFit="1"/>
    </xf>
    <xf numFmtId="49" fontId="26" fillId="0" borderId="13" applyAlignment="1" pivotButton="0" quotePrefix="0" xfId="1">
      <alignment vertical="center" shrinkToFit="1"/>
    </xf>
    <xf numFmtId="165" fontId="26" fillId="0" borderId="13" applyAlignment="1" pivotButton="0" quotePrefix="0" xfId="42">
      <alignment vertical="center" shrinkToFit="1"/>
    </xf>
    <xf numFmtId="168" fontId="26" fillId="0" borderId="13" applyAlignment="1" pivotButton="0" quotePrefix="0" xfId="1">
      <alignment horizontal="left" vertical="center"/>
    </xf>
    <xf numFmtId="165" fontId="20" fillId="0" borderId="12" applyAlignment="1" pivotButton="0" quotePrefix="0" xfId="42">
      <alignment horizontal="right" vertical="center"/>
    </xf>
    <xf numFmtId="166" fontId="26" fillId="0" borderId="13" applyAlignment="1" pivotButton="0" quotePrefix="0" xfId="0">
      <alignment horizontal="left" vertical="center" shrinkToFit="1"/>
    </xf>
    <xf numFmtId="49" fontId="26" fillId="0" borderId="13" applyAlignment="1" pivotButton="0" quotePrefix="0" xfId="0">
      <alignment vertical="center" shrinkToFit="1"/>
    </xf>
    <xf numFmtId="0" fontId="26" fillId="0" borderId="13" applyAlignment="1" pivotButton="0" quotePrefix="0" xfId="1">
      <alignment horizontal="center" vertical="center"/>
    </xf>
    <xf numFmtId="165" fontId="4" fillId="0" borderId="22" applyAlignment="1" pivotButton="0" quotePrefix="0" xfId="1">
      <alignment horizontal="right" vertical="center"/>
    </xf>
    <xf numFmtId="166" fontId="26" fillId="0" borderId="13" applyAlignment="1" pivotButton="0" quotePrefix="0" xfId="1">
      <alignment horizontal="left" vertical="center"/>
    </xf>
    <xf numFmtId="49" fontId="26" fillId="0" borderId="21" applyAlignment="1" pivotButton="0" quotePrefix="0" xfId="1">
      <alignment horizontal="left" vertical="center" shrinkToFit="1"/>
    </xf>
    <xf numFmtId="165" fontId="20" fillId="0" borderId="13" applyAlignment="1" pivotButton="0" quotePrefix="0" xfId="42">
      <alignment horizontal="right" vertical="center" shrinkToFit="1"/>
    </xf>
    <xf numFmtId="165" fontId="4" fillId="0" borderId="22" applyAlignment="1" pivotButton="0" quotePrefix="0" xfId="1">
      <alignment horizontal="right" vertical="center" shrinkToFit="1"/>
    </xf>
    <xf numFmtId="169" fontId="26" fillId="0" borderId="13" applyAlignment="1" pivotButton="0" quotePrefix="0" xfId="1">
      <alignment horizontal="right" vertical="center" shrinkToFit="1"/>
    </xf>
    <xf numFmtId="0" fontId="26" fillId="0" borderId="13" applyAlignment="1" pivotButton="0" quotePrefix="0" xfId="1">
      <alignment vertical="center" shrinkToFit="1"/>
    </xf>
    <xf numFmtId="167" fontId="26" fillId="0" borderId="13" applyAlignment="1" pivotButton="0" quotePrefix="0" xfId="1">
      <alignment vertical="center" shrinkToFit="1"/>
    </xf>
    <xf numFmtId="165" fontId="3" fillId="0" borderId="22" applyAlignment="1" pivotButton="0" quotePrefix="0" xfId="0">
      <alignment horizontal="right" vertical="center" shrinkToFit="1"/>
    </xf>
    <xf numFmtId="0" fontId="26" fillId="0" borderId="13" applyAlignment="1" pivotButton="0" quotePrefix="0" xfId="0">
      <alignment horizontal="left" vertical="center"/>
    </xf>
    <xf numFmtId="0" fontId="20" fillId="0" borderId="12" applyAlignment="1" pivotButton="0" quotePrefix="0" xfId="1">
      <alignment horizontal="center" vertical="center"/>
    </xf>
    <xf numFmtId="49" fontId="20" fillId="0" borderId="14" applyAlignment="1" pivotButton="0" quotePrefix="0" xfId="1">
      <alignment horizontal="center" vertical="center"/>
    </xf>
    <xf numFmtId="0" fontId="20" fillId="0" borderId="14" applyAlignment="1" pivotButton="0" quotePrefix="0" xfId="1">
      <alignment horizontal="left" vertical="center"/>
    </xf>
    <xf numFmtId="0" fontId="20" fillId="0" borderId="14" applyAlignment="1" pivotButton="0" quotePrefix="0" xfId="1">
      <alignment horizontal="left" vertical="center" wrapText="1"/>
    </xf>
    <xf numFmtId="165" fontId="20" fillId="0" borderId="14" applyAlignment="1" pivotButton="0" quotePrefix="0" xfId="42">
      <alignment horizontal="right" vertical="center"/>
    </xf>
    <xf numFmtId="0" fontId="20" fillId="0" borderId="12" applyAlignment="1" pivotButton="0" quotePrefix="0" xfId="1">
      <alignment vertical="center" shrinkToFit="1"/>
    </xf>
    <xf numFmtId="165" fontId="20" fillId="0" borderId="14" applyAlignment="1" pivotButton="0" quotePrefix="0" xfId="42">
      <alignment horizontal="right" vertical="center" shrinkToFit="1"/>
    </xf>
    <xf numFmtId="49" fontId="25" fillId="0" borderId="26" applyAlignment="1" pivotButton="0" quotePrefix="0" xfId="0">
      <alignment vertical="center"/>
    </xf>
    <xf numFmtId="165" fontId="20" fillId="0" borderId="13" applyAlignment="1" pivotButton="0" quotePrefix="0" xfId="42">
      <alignment horizontal="right" vertical="center"/>
    </xf>
    <xf numFmtId="0" fontId="20" fillId="0" borderId="14" applyAlignment="1" pivotButton="0" quotePrefix="0" xfId="1">
      <alignment horizontal="center" vertical="center"/>
    </xf>
    <xf numFmtId="49" fontId="20" fillId="0" borderId="13" applyAlignment="1" pivotButton="0" quotePrefix="0" xfId="1">
      <alignment horizontal="center" vertical="center"/>
    </xf>
    <xf numFmtId="0" fontId="20" fillId="0" borderId="13" applyAlignment="1" pivotButton="0" quotePrefix="0" xfId="1">
      <alignment horizontal="left" vertical="center" wrapText="1"/>
    </xf>
    <xf numFmtId="165" fontId="26" fillId="0" borderId="13" applyAlignment="1" pivotButton="0" quotePrefix="0" xfId="1">
      <alignment horizontal="left" vertical="center"/>
    </xf>
    <xf numFmtId="164" fontId="20" fillId="0" borderId="13" applyAlignment="1" pivotButton="0" quotePrefix="0" xfId="1">
      <alignment vertical="center" wrapText="1" shrinkToFit="1"/>
    </xf>
    <xf numFmtId="165" fontId="3" fillId="0" borderId="13" applyAlignment="1" pivotButton="0" quotePrefix="0" xfId="42">
      <alignment horizontal="right" vertical="center" shrinkToFit="1"/>
    </xf>
    <xf numFmtId="49" fontId="26" fillId="0" borderId="26" applyAlignment="1" pivotButton="0" quotePrefix="0" xfId="1">
      <alignment horizontal="left" vertical="center"/>
    </xf>
    <xf numFmtId="0" fontId="20" fillId="0" borderId="12" applyAlignment="1" pivotButton="0" quotePrefix="0" xfId="0">
      <alignment horizontal="center" vertical="center"/>
    </xf>
    <xf numFmtId="49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0" fontId="20" fillId="0" borderId="13" applyAlignment="1" pivotButton="0" quotePrefix="0" xfId="0">
      <alignment horizontal="left" vertical="center" wrapText="1"/>
    </xf>
    <xf numFmtId="165" fontId="20" fillId="0" borderId="13" applyAlignment="1" pivotButton="0" quotePrefix="0" xfId="0">
      <alignment horizontal="right" vertical="center"/>
    </xf>
    <xf numFmtId="165" fontId="4" fillId="0" borderId="22" applyAlignment="1" pivotButton="0" quotePrefix="0" xfId="0">
      <alignment horizontal="right" vertical="center"/>
    </xf>
    <xf numFmtId="49" fontId="26" fillId="0" borderId="26" applyAlignment="1" pivotButton="0" quotePrefix="0" xfId="0">
      <alignment horizontal="left" vertical="center"/>
    </xf>
    <xf numFmtId="167" fontId="26" fillId="0" borderId="13" applyAlignment="1" pivotButton="0" quotePrefix="0" xfId="0">
      <alignment horizontal="left" vertical="center"/>
    </xf>
    <xf numFmtId="0" fontId="3" fillId="0" borderId="12" applyAlignment="1" pivotButton="0" quotePrefix="0" xfId="0">
      <alignment vertical="center" shrinkToFit="1"/>
    </xf>
    <xf numFmtId="49" fontId="3" fillId="0" borderId="14" applyAlignment="1" pivotButton="0" quotePrefix="0" xfId="0">
      <alignment vertical="center" shrinkToFit="1"/>
    </xf>
    <xf numFmtId="164" fontId="3" fillId="0" borderId="14" applyAlignment="1" pivotButton="0" quotePrefix="0" xfId="0">
      <alignment vertical="center" shrinkToFit="1"/>
    </xf>
    <xf numFmtId="49" fontId="26" fillId="0" borderId="21" applyAlignment="1" pivotButton="0" quotePrefix="0" xfId="0">
      <alignment horizontal="left" vertical="center" shrinkToFit="1"/>
    </xf>
    <xf numFmtId="169" fontId="26" fillId="0" borderId="13" applyAlignment="1" pivotButton="0" quotePrefix="0" xfId="0">
      <alignment horizontal="right" vertical="center" shrinkToFit="1"/>
    </xf>
    <xf numFmtId="0" fontId="26" fillId="0" borderId="13" applyAlignment="1" pivotButton="0" quotePrefix="0" xfId="0">
      <alignment vertical="center" shrinkToFit="1"/>
    </xf>
    <xf numFmtId="167" fontId="26" fillId="0" borderId="13" applyAlignment="1" pivotButton="0" quotePrefix="0" xfId="0">
      <alignment vertical="center" shrinkToFit="1"/>
    </xf>
    <xf numFmtId="0" fontId="3" fillId="0" borderId="14" applyAlignment="1" pivotButton="0" quotePrefix="0" xfId="0">
      <alignment vertical="center" shrinkToFit="1"/>
    </xf>
    <xf numFmtId="49" fontId="3" fillId="0" borderId="13" applyAlignment="1" pivotButton="0" quotePrefix="0" xfId="0">
      <alignment vertical="center" shrinkToFit="1"/>
    </xf>
    <xf numFmtId="164" fontId="3" fillId="0" borderId="13" applyAlignment="1" pivotButton="0" quotePrefix="0" xfId="0">
      <alignment vertical="center" shrinkToFit="1"/>
    </xf>
    <xf numFmtId="165" fontId="3" fillId="0" borderId="13" applyAlignment="1" pivotButton="0" quotePrefix="0" xfId="0">
      <alignment horizontal="right" vertical="center" shrinkToFit="1"/>
    </xf>
    <xf numFmtId="169" fontId="26" fillId="0" borderId="13" applyAlignment="1" pivotButton="0" quotePrefix="0" xfId="0">
      <alignment horizontal="left" vertical="center" shrinkToFit="1"/>
    </xf>
    <xf numFmtId="0" fontId="26" fillId="0" borderId="13" applyAlignment="1" pivotButton="0" quotePrefix="0" xfId="0">
      <alignment horizontal="center" vertical="center" shrinkToFit="1"/>
    </xf>
    <xf numFmtId="165" fontId="20" fillId="0" borderId="13" applyAlignment="1" pivotButton="0" quotePrefix="0" xfId="1">
      <alignment horizontal="right" vertical="center"/>
    </xf>
    <xf numFmtId="165" fontId="4" fillId="0" borderId="13" applyAlignment="1" pivotButton="0" quotePrefix="0" xfId="1">
      <alignment horizontal="right" vertical="center"/>
    </xf>
    <xf numFmtId="0" fontId="3" fillId="0" borderId="1" applyAlignment="1" pivotButton="0" quotePrefix="0" xfId="0">
      <alignment vertical="center" shrinkToFit="1"/>
    </xf>
    <xf numFmtId="49" fontId="3" fillId="0" borderId="2" applyAlignment="1" pivotButton="0" quotePrefix="0" xfId="0">
      <alignment vertical="center" shrinkToFit="1"/>
    </xf>
    <xf numFmtId="164" fontId="3" fillId="0" borderId="2" applyAlignment="1" pivotButton="0" quotePrefix="0" xfId="0">
      <alignment vertical="center" shrinkToFit="1"/>
    </xf>
    <xf numFmtId="165" fontId="3" fillId="0" borderId="2" applyAlignment="1" pivotButton="0" quotePrefix="0" xfId="0">
      <alignment horizontal="right" vertical="center" shrinkToFit="1"/>
    </xf>
    <xf numFmtId="165" fontId="3" fillId="0" borderId="23" applyAlignment="1" pivotButton="0" quotePrefix="0" xfId="0">
      <alignment horizontal="right" vertical="center" shrinkToFit="1"/>
    </xf>
    <xf numFmtId="0" fontId="26" fillId="0" borderId="25" applyAlignment="1" pivotButton="0" quotePrefix="0" xfId="0">
      <alignment horizontal="left" vertical="center" shrinkToFit="1"/>
    </xf>
    <xf numFmtId="169" fontId="26" fillId="0" borderId="1" applyAlignment="1" pivotButton="0" quotePrefix="0" xfId="0">
      <alignment horizontal="left" vertical="center" shrinkToFit="1"/>
    </xf>
    <xf numFmtId="49" fontId="26" fillId="0" borderId="16" applyAlignment="1" pivotButton="0" quotePrefix="0" xfId="0">
      <alignment vertical="center" shrinkToFit="1"/>
    </xf>
    <xf numFmtId="165" fontId="26" fillId="0" borderId="2" applyAlignment="1" pivotButton="0" quotePrefix="0" xfId="0">
      <alignment vertical="center" shrinkToFit="1"/>
    </xf>
    <xf numFmtId="0" fontId="26" fillId="0" borderId="2" applyAlignment="1" pivotButton="0" quotePrefix="0" xfId="0">
      <alignment horizontal="center" vertical="center" shrinkToFit="1"/>
    </xf>
    <xf numFmtId="167" fontId="26" fillId="0" borderId="2" applyAlignment="1" pivotButton="0" quotePrefix="0" xfId="0">
      <alignment vertical="center" shrinkToFit="1"/>
    </xf>
    <xf numFmtId="0" fontId="26" fillId="0" borderId="23" applyAlignment="1" pivotButton="0" quotePrefix="0" xfId="0">
      <alignment vertical="center" shrinkToFit="1"/>
    </xf>
    <xf numFmtId="49" fontId="3" fillId="0" borderId="0" applyAlignment="1" pivotButton="0" quotePrefix="0" xfId="0">
      <alignment vertical="center" shrinkToFit="1"/>
    </xf>
    <xf numFmtId="164" fontId="3" fillId="0" borderId="0" applyAlignment="1" pivotButton="0" quotePrefix="0" xfId="0">
      <alignment vertical="center" shrinkToFit="1"/>
    </xf>
    <xf numFmtId="165" fontId="3" fillId="0" borderId="0" applyAlignment="1" pivotButton="0" quotePrefix="0" xfId="42">
      <alignment horizontal="right" vertical="center" shrinkToFit="1"/>
    </xf>
    <xf numFmtId="165" fontId="3" fillId="0" borderId="0" applyAlignment="1" pivotButton="0" quotePrefix="0" xfId="0">
      <alignment horizontal="right" vertical="center" shrinkToFit="1"/>
    </xf>
    <xf numFmtId="0" fontId="26" fillId="0" borderId="24" applyAlignment="1" pivotButton="0" quotePrefix="0" xfId="0">
      <alignment horizontal="left" vertical="center" shrinkToFit="1"/>
    </xf>
    <xf numFmtId="0" fontId="26" fillId="0" borderId="0" applyAlignment="1" pivotButton="0" quotePrefix="0" xfId="0">
      <alignment horizontal="left" vertical="center" shrinkToFit="1"/>
    </xf>
    <xf numFmtId="49" fontId="26" fillId="0" borderId="0" applyAlignment="1" pivotButton="0" quotePrefix="0" xfId="0">
      <alignment vertical="center" shrinkToFit="1"/>
    </xf>
    <xf numFmtId="165" fontId="26" fillId="0" borderId="0" applyAlignment="1" pivotButton="0" quotePrefix="0" xfId="42">
      <alignment vertical="center" shrinkToFit="1"/>
    </xf>
    <xf numFmtId="0" fontId="26" fillId="0" borderId="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vertical="center" shrinkToFit="1"/>
    </xf>
    <xf numFmtId="170" fontId="21" fillId="0" borderId="17" applyAlignment="1" pivotButton="0" quotePrefix="0" xfId="0">
      <alignment horizontal="center" vertical="center" shrinkToFit="1"/>
    </xf>
    <xf numFmtId="170" fontId="20" fillId="0" borderId="1" applyAlignment="1" pivotButton="0" quotePrefix="0" xfId="1">
      <alignment horizontal="center" vertical="center"/>
    </xf>
    <xf numFmtId="170" fontId="20" fillId="0" borderId="12" applyAlignment="1" pivotButton="0" quotePrefix="0" xfId="1">
      <alignment horizontal="center" vertical="center"/>
    </xf>
    <xf numFmtId="170" fontId="20" fillId="0" borderId="12" applyAlignment="1" pivotButton="0" quotePrefix="0" xfId="0">
      <alignment horizontal="center" vertical="center"/>
    </xf>
    <xf numFmtId="170" fontId="3" fillId="0" borderId="12" applyAlignment="1" pivotButton="0" quotePrefix="0" xfId="0">
      <alignment vertical="center" shrinkToFit="1"/>
    </xf>
    <xf numFmtId="170" fontId="3" fillId="0" borderId="11" applyAlignment="1" pivotButton="0" quotePrefix="0" xfId="0">
      <alignment vertical="center" shrinkToFit="1"/>
    </xf>
    <xf numFmtId="170" fontId="3" fillId="0" borderId="0" applyAlignment="1" pivotButton="0" quotePrefix="0" xfId="0">
      <alignment vertical="center" shrinkToFit="1"/>
    </xf>
    <xf numFmtId="170" fontId="27" fillId="0" borderId="19" applyAlignment="1" pivotButton="0" quotePrefix="0" xfId="0">
      <alignment horizontal="center" vertical="center" shrinkToFit="1"/>
    </xf>
    <xf numFmtId="170" fontId="25" fillId="0" borderId="13" applyAlignment="1" pivotButton="0" quotePrefix="0" xfId="0">
      <alignment horizontal="right" vertical="center"/>
    </xf>
    <xf numFmtId="170" fontId="26" fillId="0" borderId="13" applyAlignment="1" pivotButton="0" quotePrefix="0" xfId="0">
      <alignment horizontal="right" vertical="center"/>
    </xf>
    <xf numFmtId="170" fontId="26" fillId="0" borderId="13" applyAlignment="1" pivotButton="0" quotePrefix="0" xfId="0">
      <alignment horizontal="right" vertical="center" shrinkToFit="1"/>
    </xf>
    <xf numFmtId="170" fontId="26" fillId="0" borderId="2" applyAlignment="1" pivotButton="0" quotePrefix="0" xfId="0">
      <alignment horizontal="right" vertical="center" shrinkToFit="1"/>
    </xf>
    <xf numFmtId="170" fontId="26" fillId="0" borderId="0" applyAlignment="1" pivotButton="0" quotePrefix="0" xfId="0">
      <alignment horizontal="right" vertical="center" shrinkToFit="1"/>
    </xf>
    <xf numFmtId="170" fontId="26" fillId="0" borderId="13" applyAlignment="1" pivotButton="0" quotePrefix="0" xfId="1">
      <alignment horizontal="center" vertical="center"/>
    </xf>
    <xf numFmtId="170" fontId="26" fillId="0" borderId="13" applyAlignment="1" pivotButton="0" quotePrefix="0" xfId="1">
      <alignment vertical="center" shrinkToFit="1"/>
    </xf>
    <xf numFmtId="170" fontId="26" fillId="0" borderId="13" applyAlignment="1" pivotButton="0" quotePrefix="0" xfId="0">
      <alignment horizontal="center" vertical="center"/>
    </xf>
    <xf numFmtId="170" fontId="26" fillId="0" borderId="13" applyAlignment="1" pivotButton="0" quotePrefix="0" xfId="0">
      <alignment vertical="center" shrinkToFit="1"/>
    </xf>
    <xf numFmtId="170" fontId="26" fillId="0" borderId="2" applyAlignment="1" pivotButton="0" quotePrefix="0" xfId="0">
      <alignment vertical="center" shrinkToFit="1"/>
    </xf>
    <xf numFmtId="170" fontId="26" fillId="0" borderId="0" applyAlignment="1" pivotButton="0" quotePrefix="0" xfId="0">
      <alignment vertical="center" shrinkToFit="1"/>
    </xf>
    <xf numFmtId="170" fontId="26" fillId="0" borderId="15" applyAlignment="1" pivotButton="0" quotePrefix="0" xfId="0">
      <alignment vertical="center" shrinkToFit="1"/>
    </xf>
    <xf numFmtId="0" fontId="26" fillId="0" borderId="13" applyAlignment="1" pivotButton="0" quotePrefix="0" xfId="1">
      <alignment horizontal="right" vertical="center" shrinkToFit="1"/>
    </xf>
    <xf numFmtId="0" fontId="20" fillId="34" borderId="2" applyAlignment="1" pivotButton="0" quotePrefix="0" xfId="0">
      <alignment horizontal="center" vertical="center"/>
    </xf>
    <xf numFmtId="170" fontId="20" fillId="34" borderId="1" applyAlignment="1" pivotButton="0" quotePrefix="0" xfId="0">
      <alignment horizontal="center" vertical="center"/>
    </xf>
    <xf numFmtId="49" fontId="20" fillId="34" borderId="1" applyAlignment="1" pivotButton="0" quotePrefix="0" xfId="0">
      <alignment horizontal="center" vertical="center"/>
    </xf>
    <xf numFmtId="0" fontId="20" fillId="34" borderId="1" applyAlignment="1" pivotButton="0" quotePrefix="0" xfId="0">
      <alignment horizontal="left" vertical="center"/>
    </xf>
    <xf numFmtId="0" fontId="20" fillId="34" borderId="1" applyAlignment="1" pivotButton="0" quotePrefix="0" xfId="0">
      <alignment horizontal="left" vertical="center" wrapText="1"/>
    </xf>
    <xf numFmtId="165" fontId="20" fillId="34" borderId="1" applyAlignment="1" pivotButton="0" quotePrefix="0" xfId="0">
      <alignment horizontal="right" vertical="center"/>
    </xf>
    <xf numFmtId="165" fontId="20" fillId="34" borderId="1" applyAlignment="1" pivotButton="0" quotePrefix="0" xfId="1">
      <alignment horizontal="right" vertical="center"/>
    </xf>
    <xf numFmtId="165" fontId="4" fillId="34" borderId="12" applyAlignment="1" pivotButton="0" quotePrefix="0" xfId="0">
      <alignment horizontal="right" vertical="center"/>
    </xf>
    <xf numFmtId="49" fontId="26" fillId="34" borderId="21" applyAlignment="1" pivotButton="0" quotePrefix="0" xfId="0">
      <alignment horizontal="left" vertical="center"/>
    </xf>
    <xf numFmtId="0" fontId="26" fillId="34" borderId="13" applyAlignment="1" pivotButton="0" quotePrefix="0" xfId="0">
      <alignment horizontal="left" vertical="center"/>
    </xf>
    <xf numFmtId="170" fontId="25" fillId="34" borderId="13" applyAlignment="1" pivotButton="0" quotePrefix="0" xfId="0">
      <alignment horizontal="right" vertical="center"/>
    </xf>
    <xf numFmtId="170" fontId="26" fillId="34" borderId="13" applyAlignment="1" pivotButton="0" quotePrefix="0" xfId="1">
      <alignment horizontal="center" vertical="center"/>
    </xf>
    <xf numFmtId="165" fontId="26" fillId="34" borderId="13" applyAlignment="1" pivotButton="0" quotePrefix="0" xfId="42">
      <alignment horizontal="right" vertical="center"/>
    </xf>
    <xf numFmtId="0" fontId="26" fillId="34" borderId="13" applyAlignment="1" pivotButton="0" quotePrefix="0" xfId="1">
      <alignment horizontal="center" vertical="center"/>
    </xf>
    <xf numFmtId="167" fontId="26" fillId="34" borderId="13" applyAlignment="1" pivotButton="0" quotePrefix="0" xfId="1">
      <alignment horizontal="left" vertical="center"/>
    </xf>
    <xf numFmtId="0" fontId="26" fillId="34" borderId="13" applyAlignment="1" pivotButton="0" quotePrefix="0" xfId="1">
      <alignment horizontal="left" vertical="center"/>
    </xf>
    <xf numFmtId="0" fontId="20" fillId="34" borderId="2" applyAlignment="1" pivotButton="0" quotePrefix="0" xfId="1">
      <alignment horizontal="center" vertical="center"/>
    </xf>
    <xf numFmtId="170" fontId="20" fillId="34" borderId="1" applyAlignment="1" pivotButton="0" quotePrefix="0" xfId="1">
      <alignment horizontal="center" vertical="center"/>
    </xf>
    <xf numFmtId="49" fontId="20" fillId="34" borderId="1" applyAlignment="1" pivotButton="0" quotePrefix="0" xfId="1">
      <alignment horizontal="center" vertical="center"/>
    </xf>
    <xf numFmtId="0" fontId="20" fillId="34" borderId="1" applyAlignment="1" pivotButton="0" quotePrefix="0" xfId="1">
      <alignment horizontal="left" vertical="center"/>
    </xf>
    <xf numFmtId="0" fontId="20" fillId="34" borderId="1" applyAlignment="1" pivotButton="0" quotePrefix="0" xfId="1">
      <alignment horizontal="left" vertical="center" wrapText="1"/>
    </xf>
    <xf numFmtId="165" fontId="20" fillId="34" borderId="1" applyAlignment="1" pivotButton="0" quotePrefix="0" xfId="42">
      <alignment horizontal="right" vertical="center"/>
    </xf>
    <xf numFmtId="165" fontId="4" fillId="34" borderId="22" applyAlignment="1" pivotButton="0" quotePrefix="0" xfId="1">
      <alignment horizontal="right" vertical="center"/>
    </xf>
    <xf numFmtId="49" fontId="25" fillId="34" borderId="21" applyAlignment="1" pivotButton="0" quotePrefix="0" xfId="0">
      <alignment vertical="center"/>
    </xf>
    <xf numFmtId="0" fontId="20" fillId="34" borderId="12" applyAlignment="1" pivotButton="0" quotePrefix="0" xfId="1">
      <alignment horizontal="center" vertical="center"/>
    </xf>
    <xf numFmtId="170" fontId="20" fillId="34" borderId="12" applyAlignment="1" pivotButton="0" quotePrefix="0" xfId="1">
      <alignment horizontal="center" vertical="center"/>
    </xf>
    <xf numFmtId="49" fontId="20" fillId="34" borderId="14" applyAlignment="1" pivotButton="0" quotePrefix="0" xfId="1">
      <alignment horizontal="center" vertical="center"/>
    </xf>
    <xf numFmtId="0" fontId="20" fillId="34" borderId="14" applyAlignment="1" pivotButton="0" quotePrefix="0" xfId="1">
      <alignment horizontal="left" vertical="center"/>
    </xf>
    <xf numFmtId="0" fontId="20" fillId="34" borderId="14" applyAlignment="1" pivotButton="0" quotePrefix="0" xfId="1">
      <alignment horizontal="left" vertical="center" wrapText="1"/>
    </xf>
    <xf numFmtId="165" fontId="20" fillId="34" borderId="14" applyAlignment="1" pivotButton="0" quotePrefix="0" xfId="42">
      <alignment horizontal="right" vertical="center" shrinkToFit="1"/>
    </xf>
    <xf numFmtId="165" fontId="4" fillId="34" borderId="12" applyAlignment="1" pivotButton="0" quotePrefix="0" xfId="1">
      <alignment horizontal="right" vertical="center"/>
    </xf>
    <xf numFmtId="49" fontId="26" fillId="34" borderId="21" applyAlignment="1" pivotButton="0" quotePrefix="0" xfId="1">
      <alignment horizontal="left" vertical="center"/>
    </xf>
    <xf numFmtId="171" fontId="25" fillId="0" borderId="13" applyAlignment="1" pivotButton="0" quotePrefix="0" xfId="0">
      <alignment horizontal="right" vertical="center"/>
    </xf>
    <xf numFmtId="171" fontId="26" fillId="0" borderId="13" applyAlignment="1" pivotButton="0" quotePrefix="0" xfId="1">
      <alignment horizontal="center" vertical="center"/>
    </xf>
    <xf numFmtId="49" fontId="26" fillId="34" borderId="13" applyAlignment="1" pivotButton="0" quotePrefix="0" xfId="1">
      <alignment horizontal="left" vertical="center"/>
    </xf>
    <xf numFmtId="0" fontId="28" fillId="0" borderId="28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vertical="center" shrinkToFit="1"/>
    </xf>
    <xf numFmtId="0" fontId="23" fillId="0" borderId="0" applyAlignment="1" pivotButton="0" quotePrefix="0" xfId="1">
      <alignment horizontal="center" vertical="center"/>
    </xf>
    <xf numFmtId="0" fontId="20" fillId="0" borderId="0" applyAlignment="1" pivotButton="0" quotePrefix="0" xfId="1">
      <alignment horizontal="left" vertical="center"/>
    </xf>
    <xf numFmtId="49" fontId="20" fillId="0" borderId="0" applyAlignment="1" pivotButton="0" quotePrefix="0" xfId="1">
      <alignment horizontal="left" vertical="center"/>
    </xf>
    <xf numFmtId="0" fontId="20" fillId="0" borderId="17" applyAlignment="1" pivotButton="0" quotePrefix="0" xfId="1">
      <alignment horizontal="right" vertical="center"/>
    </xf>
    <xf numFmtId="0" fontId="0" fillId="0" borderId="17" pivotButton="0" quotePrefix="0" xfId="0"/>
    <xf numFmtId="0" fontId="20" fillId="0" borderId="17" applyAlignment="1" pivotButton="0" quotePrefix="0" xfId="1">
      <alignment horizontal="left" vertical="center"/>
    </xf>
    <xf numFmtId="0" fontId="20" fillId="34" borderId="12" applyAlignment="1" pivotButton="0" quotePrefix="0" xfId="1">
      <alignment vertical="center" shrinkToFit="1"/>
    </xf>
    <xf numFmtId="165" fontId="20" fillId="34" borderId="14" applyAlignment="1" pivotButton="0" quotePrefix="0" xfId="42">
      <alignment horizontal="right" vertical="center"/>
    </xf>
    <xf numFmtId="49" fontId="26" fillId="34" borderId="13" applyAlignment="1" pivotButton="0" quotePrefix="0" xfId="1">
      <alignment vertical="center" shrinkToFit="1"/>
    </xf>
    <xf numFmtId="170" fontId="3" fillId="0" borderId="0" applyAlignment="1" pivotButton="0" quotePrefix="0" xfId="0">
      <alignment vertical="center" shrinkToFit="1"/>
    </xf>
    <xf numFmtId="164" fontId="3" fillId="0" borderId="0" applyAlignment="1" pivotButton="0" quotePrefix="0" xfId="0">
      <alignment vertical="center" shrinkToFit="1"/>
    </xf>
    <xf numFmtId="165" fontId="3" fillId="0" borderId="0" applyAlignment="1" pivotButton="0" quotePrefix="0" xfId="42">
      <alignment horizontal="right" vertical="center" shrinkToFit="1"/>
    </xf>
    <xf numFmtId="165" fontId="3" fillId="0" borderId="0" applyAlignment="1" pivotButton="0" quotePrefix="0" xfId="0">
      <alignment horizontal="right" vertical="center" shrinkToFit="1"/>
    </xf>
    <xf numFmtId="170" fontId="26" fillId="0" borderId="0" applyAlignment="1" pivotButton="0" quotePrefix="0" xfId="0">
      <alignment horizontal="right" vertical="center" shrinkToFit="1"/>
    </xf>
    <xf numFmtId="170" fontId="26" fillId="0" borderId="0" applyAlignment="1" pivotButton="0" quotePrefix="0" xfId="0">
      <alignment vertical="center" shrinkToFit="1"/>
    </xf>
    <xf numFmtId="165" fontId="26" fillId="0" borderId="0" applyAlignment="1" pivotButton="0" quotePrefix="0" xfId="42">
      <alignment vertical="center" shrinkToFit="1"/>
    </xf>
    <xf numFmtId="170" fontId="21" fillId="0" borderId="17" applyAlignment="1" pivotButton="0" quotePrefix="0" xfId="0">
      <alignment horizontal="center" vertical="center" shrinkToFit="1"/>
    </xf>
    <xf numFmtId="164" fontId="21" fillId="0" borderId="19" applyAlignment="1" pivotButton="0" quotePrefix="0" xfId="0">
      <alignment horizontal="center" vertical="center" shrinkToFit="1"/>
    </xf>
    <xf numFmtId="165" fontId="21" fillId="0" borderId="19" applyAlignment="1" pivotButton="0" quotePrefix="0" xfId="42">
      <alignment horizontal="center" vertical="center" shrinkToFit="1"/>
    </xf>
    <xf numFmtId="165" fontId="21" fillId="0" borderId="20" applyAlignment="1" pivotButton="0" quotePrefix="0" xfId="0">
      <alignment horizontal="center" vertical="center" shrinkToFit="1"/>
    </xf>
    <xf numFmtId="170" fontId="27" fillId="0" borderId="19" applyAlignment="1" pivotButton="0" quotePrefix="0" xfId="0">
      <alignment horizontal="center" vertical="center" shrinkToFit="1"/>
    </xf>
    <xf numFmtId="165" fontId="27" fillId="0" borderId="19" applyAlignment="1" pivotButton="0" quotePrefix="0" xfId="42">
      <alignment horizontal="center" vertical="center" shrinkToFit="1"/>
    </xf>
    <xf numFmtId="0" fontId="0" fillId="0" borderId="0" pivotButton="0" quotePrefix="0" xfId="0"/>
    <xf numFmtId="170" fontId="20" fillId="34" borderId="1" applyAlignment="1" pivotButton="0" quotePrefix="0" xfId="1">
      <alignment horizontal="center" vertical="center"/>
    </xf>
    <xf numFmtId="165" fontId="20" fillId="34" borderId="1" applyAlignment="1" pivotButton="0" quotePrefix="0" xfId="1">
      <alignment horizontal="right" vertical="center"/>
    </xf>
    <xf numFmtId="165" fontId="4" fillId="34" borderId="12" applyAlignment="1" pivotButton="0" quotePrefix="0" xfId="1">
      <alignment horizontal="right" vertical="center"/>
    </xf>
    <xf numFmtId="170" fontId="25" fillId="34" borderId="13" applyAlignment="1" pivotButton="0" quotePrefix="0" xfId="0">
      <alignment horizontal="right" vertical="center"/>
    </xf>
    <xf numFmtId="170" fontId="26" fillId="34" borderId="13" applyAlignment="1" pivotButton="0" quotePrefix="0" xfId="1">
      <alignment horizontal="center" vertical="center"/>
    </xf>
    <xf numFmtId="165" fontId="26" fillId="34" borderId="13" applyAlignment="1" pivotButton="0" quotePrefix="0" xfId="42">
      <alignment horizontal="right" vertical="center"/>
    </xf>
    <xf numFmtId="167" fontId="26" fillId="34" borderId="13" applyAlignment="1" pivotButton="0" quotePrefix="0" xfId="1">
      <alignment horizontal="left" vertical="center"/>
    </xf>
    <xf numFmtId="170" fontId="20" fillId="0" borderId="1" applyAlignment="1" pivotButton="0" quotePrefix="0" xfId="1">
      <alignment horizontal="center" vertical="center"/>
    </xf>
    <xf numFmtId="165" fontId="20" fillId="0" borderId="1" applyAlignment="1" pivotButton="0" quotePrefix="0" xfId="1">
      <alignment horizontal="right" vertical="center"/>
    </xf>
    <xf numFmtId="165" fontId="4" fillId="0" borderId="12" applyAlignment="1" pivotButton="0" quotePrefix="0" xfId="1">
      <alignment horizontal="right" vertical="center"/>
    </xf>
    <xf numFmtId="172" fontId="25" fillId="0" borderId="13" applyAlignment="1" pivotButton="0" quotePrefix="0" xfId="0">
      <alignment horizontal="right" vertical="center"/>
    </xf>
    <xf numFmtId="172" fontId="26" fillId="0" borderId="13" applyAlignment="1" pivotButton="0" quotePrefix="0" xfId="1">
      <alignment horizontal="center" vertical="center"/>
    </xf>
    <xf numFmtId="165" fontId="26" fillId="0" borderId="13" applyAlignment="1" pivotButton="0" quotePrefix="0" xfId="42">
      <alignment horizontal="right" vertical="center"/>
    </xf>
    <xf numFmtId="167" fontId="26" fillId="0" borderId="13" applyAlignment="1" pivotButton="0" quotePrefix="0" xfId="1">
      <alignment horizontal="left" vertical="center"/>
    </xf>
    <xf numFmtId="170" fontId="25" fillId="0" borderId="13" applyAlignment="1" pivotButton="0" quotePrefix="0" xfId="0">
      <alignment horizontal="right" vertical="center"/>
    </xf>
    <xf numFmtId="170" fontId="26" fillId="0" borderId="13" applyAlignment="1" pivotButton="0" quotePrefix="0" xfId="1">
      <alignment horizontal="center" vertical="center"/>
    </xf>
    <xf numFmtId="165" fontId="4" fillId="0" borderId="12" applyAlignment="1" pivotButton="0" quotePrefix="0" xfId="1">
      <alignment horizontal="right" vertical="center" shrinkToFit="1"/>
    </xf>
    <xf numFmtId="168" fontId="26" fillId="0" borderId="13" applyAlignment="1" pivotButton="0" quotePrefix="0" xfId="1">
      <alignment horizontal="left" vertical="center"/>
    </xf>
    <xf numFmtId="165" fontId="20" fillId="0" borderId="12" applyAlignment="1" pivotButton="0" quotePrefix="0" xfId="42">
      <alignment horizontal="right" vertical="center"/>
    </xf>
    <xf numFmtId="166" fontId="26" fillId="0" borderId="13" applyAlignment="1" pivotButton="0" quotePrefix="0" xfId="1">
      <alignment horizontal="center" vertical="center"/>
    </xf>
    <xf numFmtId="166" fontId="26" fillId="0" borderId="13" applyAlignment="1" pivotButton="0" quotePrefix="0" xfId="0">
      <alignment horizontal="left" vertical="center" shrinkToFit="1"/>
    </xf>
    <xf numFmtId="165" fontId="4" fillId="0" borderId="22" applyAlignment="1" pivotButton="0" quotePrefix="0" xfId="1">
      <alignment horizontal="right" vertical="center"/>
    </xf>
    <xf numFmtId="166" fontId="26" fillId="0" borderId="13" applyAlignment="1" pivotButton="0" quotePrefix="0" xfId="1">
      <alignment horizontal="left" vertical="center"/>
    </xf>
    <xf numFmtId="165" fontId="20" fillId="0" borderId="13" applyAlignment="1" pivotButton="0" quotePrefix="0" xfId="42">
      <alignment horizontal="right" vertical="center" shrinkToFit="1"/>
    </xf>
    <xf numFmtId="165" fontId="4" fillId="0" borderId="22" applyAlignment="1" pivotButton="0" quotePrefix="0" xfId="1">
      <alignment horizontal="right" vertical="center" shrinkToFit="1"/>
    </xf>
    <xf numFmtId="171" fontId="25" fillId="0" borderId="13" applyAlignment="1" pivotButton="0" quotePrefix="0" xfId="0">
      <alignment horizontal="right" vertical="center"/>
    </xf>
    <xf numFmtId="171" fontId="26" fillId="0" borderId="13" applyAlignment="1" pivotButton="0" quotePrefix="0" xfId="1">
      <alignment horizontal="center" vertical="center"/>
    </xf>
    <xf numFmtId="165" fontId="4" fillId="34" borderId="22" applyAlignment="1" pivotButton="0" quotePrefix="0" xfId="1">
      <alignment horizontal="right" vertical="center"/>
    </xf>
    <xf numFmtId="170" fontId="26" fillId="0" borderId="13" applyAlignment="1" pivotButton="0" quotePrefix="0" xfId="1">
      <alignment vertical="center" shrinkToFit="1"/>
    </xf>
    <xf numFmtId="167" fontId="26" fillId="0" borderId="13" applyAlignment="1" pivotButton="0" quotePrefix="0" xfId="1">
      <alignment vertical="center" shrinkToFit="1"/>
    </xf>
    <xf numFmtId="165" fontId="3" fillId="0" borderId="22" applyAlignment="1" pivotButton="0" quotePrefix="0" xfId="0">
      <alignment horizontal="right" vertical="center" shrinkToFit="1"/>
    </xf>
    <xf numFmtId="170" fontId="20" fillId="34" borderId="1" applyAlignment="1" pivotButton="0" quotePrefix="0" xfId="0">
      <alignment horizontal="center" vertical="center"/>
    </xf>
    <xf numFmtId="165" fontId="20" fillId="34" borderId="1" applyAlignment="1" pivotButton="0" quotePrefix="0" xfId="0">
      <alignment horizontal="right" vertical="center"/>
    </xf>
    <xf numFmtId="165" fontId="4" fillId="34" borderId="12" applyAlignment="1" pivotButton="0" quotePrefix="0" xfId="0">
      <alignment horizontal="right" vertical="center"/>
    </xf>
    <xf numFmtId="165" fontId="20" fillId="34" borderId="1" applyAlignment="1" pivotButton="0" quotePrefix="0" xfId="42">
      <alignment horizontal="right" vertical="center"/>
    </xf>
    <xf numFmtId="170" fontId="20" fillId="0" borderId="12" applyAlignment="1" pivotButton="0" quotePrefix="0" xfId="1">
      <alignment horizontal="center" vertical="center"/>
    </xf>
    <xf numFmtId="165" fontId="20" fillId="0" borderId="14" applyAlignment="1" pivotButton="0" quotePrefix="0" xfId="42">
      <alignment horizontal="right" vertical="center"/>
    </xf>
    <xf numFmtId="170" fontId="20" fillId="34" borderId="12" applyAlignment="1" pivotButton="0" quotePrefix="0" xfId="1">
      <alignment horizontal="center" vertical="center"/>
    </xf>
    <xf numFmtId="165" fontId="20" fillId="34" borderId="14" applyAlignment="1" pivotButton="0" quotePrefix="0" xfId="42">
      <alignment horizontal="right" vertical="center"/>
    </xf>
    <xf numFmtId="165" fontId="20" fillId="0" borderId="14" applyAlignment="1" pivotButton="0" quotePrefix="0" xfId="42">
      <alignment horizontal="right" vertical="center" shrinkToFit="1"/>
    </xf>
    <xf numFmtId="165" fontId="20" fillId="34" borderId="14" applyAlignment="1" pivotButton="0" quotePrefix="0" xfId="42">
      <alignment horizontal="right" vertical="center" shrinkToFit="1"/>
    </xf>
    <xf numFmtId="172" fontId="26" fillId="0" borderId="13" applyAlignment="1" pivotButton="0" quotePrefix="0" xfId="1">
      <alignment vertical="center" shrinkToFit="1"/>
    </xf>
    <xf numFmtId="165" fontId="20" fillId="0" borderId="13" applyAlignment="1" pivotButton="0" quotePrefix="0" xfId="42">
      <alignment horizontal="right" vertical="center"/>
    </xf>
    <xf numFmtId="164" fontId="20" fillId="0" borderId="13" applyAlignment="1" pivotButton="0" quotePrefix="0" xfId="1">
      <alignment vertical="center" wrapText="1" shrinkToFit="1"/>
    </xf>
    <xf numFmtId="165" fontId="3" fillId="0" borderId="13" applyAlignment="1" pivotButton="0" quotePrefix="0" xfId="42">
      <alignment horizontal="right" vertical="center" shrinkToFit="1"/>
    </xf>
    <xf numFmtId="169" fontId="26" fillId="0" borderId="13" applyAlignment="1" pivotButton="0" quotePrefix="0" xfId="1">
      <alignment horizontal="right" vertical="center" shrinkToFit="1"/>
    </xf>
    <xf numFmtId="170" fontId="26" fillId="0" borderId="13" applyAlignment="1" pivotButton="0" quotePrefix="0" xfId="0">
      <alignment horizontal="right" vertical="center"/>
    </xf>
    <xf numFmtId="170" fontId="20" fillId="0" borderId="12" applyAlignment="1" pivotButton="0" quotePrefix="0" xfId="0">
      <alignment horizontal="center" vertical="center"/>
    </xf>
    <xf numFmtId="165" fontId="20" fillId="0" borderId="13" applyAlignment="1" pivotButton="0" quotePrefix="0" xfId="0">
      <alignment horizontal="right" vertical="center"/>
    </xf>
    <xf numFmtId="165" fontId="4" fillId="0" borderId="22" applyAlignment="1" pivotButton="0" quotePrefix="0" xfId="0">
      <alignment horizontal="right" vertical="center"/>
    </xf>
    <xf numFmtId="170" fontId="26" fillId="0" borderId="13" applyAlignment="1" pivotButton="0" quotePrefix="0" xfId="0">
      <alignment horizontal="center" vertical="center"/>
    </xf>
    <xf numFmtId="167" fontId="26" fillId="0" borderId="13" applyAlignment="1" pivotButton="0" quotePrefix="0" xfId="0">
      <alignment horizontal="left" vertical="center"/>
    </xf>
    <xf numFmtId="170" fontId="3" fillId="0" borderId="12" applyAlignment="1" pivotButton="0" quotePrefix="0" xfId="0">
      <alignment vertical="center" shrinkToFit="1"/>
    </xf>
    <xf numFmtId="164" fontId="3" fillId="0" borderId="14" applyAlignment="1" pivotButton="0" quotePrefix="0" xfId="0">
      <alignment vertical="center" shrinkToFit="1"/>
    </xf>
    <xf numFmtId="169" fontId="26" fillId="0" borderId="13" applyAlignment="1" pivotButton="0" quotePrefix="0" xfId="0">
      <alignment horizontal="right" vertical="center" shrinkToFit="1"/>
    </xf>
    <xf numFmtId="170" fontId="26" fillId="0" borderId="13" applyAlignment="1" pivotButton="0" quotePrefix="0" xfId="0">
      <alignment vertical="center" shrinkToFit="1"/>
    </xf>
    <xf numFmtId="167" fontId="26" fillId="0" borderId="13" applyAlignment="1" pivotButton="0" quotePrefix="0" xfId="0">
      <alignment vertical="center" shrinkToFit="1"/>
    </xf>
    <xf numFmtId="164" fontId="3" fillId="0" borderId="13" applyAlignment="1" pivotButton="0" quotePrefix="0" xfId="0">
      <alignment vertical="center" shrinkToFit="1"/>
    </xf>
    <xf numFmtId="165" fontId="3" fillId="0" borderId="13" applyAlignment="1" pivotButton="0" quotePrefix="0" xfId="0">
      <alignment horizontal="right" vertical="center" shrinkToFit="1"/>
    </xf>
    <xf numFmtId="165" fontId="26" fillId="0" borderId="13" applyAlignment="1" pivotButton="0" quotePrefix="0" xfId="1">
      <alignment horizontal="left" vertical="center"/>
    </xf>
    <xf numFmtId="169" fontId="26" fillId="0" borderId="13" applyAlignment="1" pivotButton="0" quotePrefix="0" xfId="0">
      <alignment horizontal="left" vertical="center" shrinkToFit="1"/>
    </xf>
    <xf numFmtId="165" fontId="26" fillId="0" borderId="13" applyAlignment="1" pivotButton="0" quotePrefix="0" xfId="42">
      <alignment vertical="center" shrinkToFit="1"/>
    </xf>
    <xf numFmtId="165" fontId="20" fillId="0" borderId="13" applyAlignment="1" pivotButton="0" quotePrefix="0" xfId="1">
      <alignment horizontal="right" vertical="center"/>
    </xf>
    <xf numFmtId="165" fontId="4" fillId="0" borderId="13" applyAlignment="1" pivotButton="0" quotePrefix="0" xfId="1">
      <alignment horizontal="right" vertical="center"/>
    </xf>
    <xf numFmtId="170" fontId="26" fillId="0" borderId="13" applyAlignment="1" pivotButton="0" quotePrefix="0" xfId="0">
      <alignment horizontal="right" vertical="center" shrinkToFit="1"/>
    </xf>
    <xf numFmtId="170" fontId="3" fillId="0" borderId="11" applyAlignment="1" pivotButton="0" quotePrefix="0" xfId="0">
      <alignment vertical="center" shrinkToFit="1"/>
    </xf>
    <xf numFmtId="164" fontId="3" fillId="0" borderId="2" applyAlignment="1" pivotButton="0" quotePrefix="0" xfId="0">
      <alignment vertical="center" shrinkToFit="1"/>
    </xf>
    <xf numFmtId="165" fontId="3" fillId="0" borderId="2" applyAlignment="1" pivotButton="0" quotePrefix="0" xfId="0">
      <alignment horizontal="right" vertical="center" shrinkToFit="1"/>
    </xf>
    <xf numFmtId="165" fontId="3" fillId="0" borderId="23" applyAlignment="1" pivotButton="0" quotePrefix="0" xfId="0">
      <alignment horizontal="right" vertical="center" shrinkToFit="1"/>
    </xf>
    <xf numFmtId="169" fontId="26" fillId="0" borderId="1" applyAlignment="1" pivotButton="0" quotePrefix="0" xfId="0">
      <alignment horizontal="left" vertical="center" shrinkToFit="1"/>
    </xf>
    <xf numFmtId="170" fontId="26" fillId="0" borderId="2" applyAlignment="1" pivotButton="0" quotePrefix="0" xfId="0">
      <alignment horizontal="right" vertical="center" shrinkToFit="1"/>
    </xf>
    <xf numFmtId="170" fontId="26" fillId="0" borderId="15" applyAlignment="1" pivotButton="0" quotePrefix="0" xfId="0">
      <alignment vertical="center" shrinkToFit="1"/>
    </xf>
    <xf numFmtId="165" fontId="26" fillId="0" borderId="2" applyAlignment="1" pivotButton="0" quotePrefix="0" xfId="0">
      <alignment vertical="center" shrinkToFit="1"/>
    </xf>
    <xf numFmtId="170" fontId="26" fillId="0" borderId="2" applyAlignment="1" pivotButton="0" quotePrefix="0" xfId="0">
      <alignment vertical="center" shrinkToFit="1"/>
    </xf>
    <xf numFmtId="167" fontId="26" fillId="0" borderId="2" applyAlignment="1" pivotButton="0" quotePrefix="0" xfId="0">
      <alignment vertical="center" shrinkToFit="1"/>
    </xf>
  </cellXfs>
  <cellStyles count="43">
    <cellStyle name="一般" xfId="0" builtinId="0"/>
    <cellStyle name="一般 2" xfId="1"/>
    <cellStyle name="20% - 輔色1 2" xfId="2"/>
    <cellStyle name="20% - 輔色2 2" xfId="3"/>
    <cellStyle name="20% - 輔色3 2" xfId="4"/>
    <cellStyle name="20% - 輔色4 2" xfId="5"/>
    <cellStyle name="20% - 輔色5 2" xfId="6"/>
    <cellStyle name="20% - 輔色6 2" xfId="7"/>
    <cellStyle name="40% - 輔色1 2" xfId="8"/>
    <cellStyle name="40% - 輔色2 2" xfId="9"/>
    <cellStyle name="40% - 輔色3 2" xfId="10"/>
    <cellStyle name="40% - 輔色4 2" xfId="11"/>
    <cellStyle name="40% - 輔色5 2" xfId="12"/>
    <cellStyle name="40% - 輔色6 2" xfId="13"/>
    <cellStyle name="60% - 輔色1 2" xfId="14"/>
    <cellStyle name="60% - 輔色2 2" xfId="15"/>
    <cellStyle name="60% - 輔色3 2" xfId="16"/>
    <cellStyle name="60% - 輔色4 2" xfId="17"/>
    <cellStyle name="60% - 輔色5 2" xfId="18"/>
    <cellStyle name="60% - 輔色6 2" xfId="19"/>
    <cellStyle name="中等 2" xfId="20"/>
    <cellStyle name="合計 2" xfId="21"/>
    <cellStyle name="好 2" xfId="22"/>
    <cellStyle name="計算方式 2" xfId="23"/>
    <cellStyle name="連結的儲存格 2" xfId="24"/>
    <cellStyle name="說明文字 2" xfId="25"/>
    <cellStyle name="輔色1 2" xfId="26"/>
    <cellStyle name="輔色2 2" xfId="27"/>
    <cellStyle name="輔色3 2" xfId="28"/>
    <cellStyle name="輔色4 2" xfId="29"/>
    <cellStyle name="輔色5 2" xfId="30"/>
    <cellStyle name="輔色6 2" xfId="31"/>
    <cellStyle name="標題 5" xfId="32"/>
    <cellStyle name="標題 1 2" xfId="33"/>
    <cellStyle name="標題 2 2" xfId="34"/>
    <cellStyle name="標題 3 2" xfId="35"/>
    <cellStyle name="標題 4 2" xfId="36"/>
    <cellStyle name="輸入 2" xfId="37"/>
    <cellStyle name="輸出 2" xfId="38"/>
    <cellStyle name="檢查儲存格 2" xfId="39"/>
    <cellStyle name="壞 2" xfId="40"/>
    <cellStyle name="警告文字 2" xfId="41"/>
    <cellStyle name="貨幣" xfId="42" builtinId="4"/>
  </cellStyles>
  <dxfs count="65"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ill>
        <patternFill patternType="solid">
          <fgColor indexed="64"/>
          <bgColor rgb="FF808080"/>
        </patternFill>
      </fill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general" vertical="center" shrinkToFit="1"/>
      <border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auto="1"/>
        </patternFill>
      </fill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79" formatCode="0_);[Red]\(0\)"/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lor auto="1"/>
        <sz val="12"/>
        <vertAlign val="baseline"/>
      </font>
      <numFmt numFmtId="179" formatCode="0_);[Red]\(0\)"/>
      <fill>
        <patternFill>
          <fgColor indexed="64"/>
          <bgColor auto="1"/>
        </patternFill>
      </fill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78" formatCode="[$-800404]e/m/d;@"/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lor auto="1"/>
        <sz val="12"/>
        <vertAlign val="baseline"/>
      </font>
      <numFmt numFmtId="181" formatCode="[$-404]e/m/d;@"/>
      <fill>
        <patternFill>
          <fgColor indexed="64"/>
          <bgColor auto="1"/>
        </patternFill>
      </fill>
      <alignment horizontal="general" vertical="center" shrinkToFit="1"/>
      <border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auto="1"/>
        </patternFill>
      </fill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77" formatCode="_-&quot;$&quot;* #,##0_-;\-&quot;$&quot;* #,##0_-;_-&quot;$&quot;* &quot;-&quot;??_-;_-@_-"/>
      <fill>
        <patternFill>
          <fgColor indexed="64"/>
          <bgColor indexed="65"/>
        </patternFill>
      </fill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name val="微軟正黑體"/>
        <charset val="136"/>
        <family val="2"/>
        <strike val="0"/>
        <outline val="0"/>
        <shadow val="0"/>
        <color auto="1"/>
        <sz val="12"/>
        <vertAlign val="baseline"/>
      </font>
      <numFmt numFmtId="177" formatCode="_-&quot;$&quot;* #,##0_-;\-&quot;$&quot;* #,##0_-;_-&quot;$&quot;* &quot;-&quot;??_-;_-@_-"/>
      <fill>
        <patternFill>
          <fgColor indexed="64"/>
          <bgColor auto="1"/>
        </patternFill>
      </fill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78" formatCode="[$-800404]e/m/d;@"/>
      <alignment horizontal="general" vertical="center" shrinkToFit="1"/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lor auto="1"/>
        <sz val="12"/>
        <vertAlign val="baseline"/>
      </font>
      <numFmt numFmtId="181" formatCode="[$-404]e/m/d;@"/>
      <fill>
        <patternFill>
          <fgColor indexed="64"/>
          <bgColor auto="1"/>
        </patternFill>
      </fill>
      <alignment horizontal="general" vertical="center" shrinkToFit="1"/>
      <border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30" formatCode="@"/>
      <alignment horizontal="general" vertical="center" shrinkToFit="1"/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lor auto="1"/>
        <sz val="12"/>
        <vertAlign val="baseline"/>
      </font>
      <numFmt numFmtId="30" formatCode="@"/>
      <fill>
        <patternFill>
          <fgColor indexed="64"/>
          <bgColor auto="1"/>
        </patternFill>
      </fill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178" formatCode="[$-800404]e/m/d;@"/>
      <alignment horizontal="right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lor auto="1"/>
        <sz val="12"/>
        <vertAlign val="baseline"/>
      </font>
      <numFmt numFmtId="181" formatCode="[$-404]e/m/d;@"/>
      <fill>
        <patternFill>
          <fgColor indexed="64"/>
          <bgColor auto="1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32" formatCode="_-&quot;$&quot;* #,##0_-;\-&quot;$&quot;* #,##0_-;_-&quot;$&quot;* &quot;-&quot;_-;_-@_-"/>
      <alignment horizontal="right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lor auto="1"/>
        <sz val="12"/>
        <vertAlign val="baseline"/>
      </font>
      <numFmt numFmtId="32" formatCode="_-&quot;$&quot;* #,##0_-;\-&quot;$&quot;* #,##0_-;_-&quot;$&quot;* &quot;-&quot;_-;_-@_-"/>
      <fill>
        <patternFill>
          <fgColor indexed="64"/>
          <bgColor auto="1"/>
        </patternFill>
      </fill>
      <alignment horizontal="right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center"/>
      <border outline="0">
        <left style="thick">
          <color indexed="64"/>
        </left>
        <right style="thick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name val="微軟正黑體"/>
        <charset val="136"/>
        <family val="2"/>
        <strike val="0"/>
        <outline val="0"/>
        <shadow val="0"/>
        <color auto="1"/>
        <sz val="12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  <border outline="0">
        <left style="thick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新細明體"/>
        <charset val="136"/>
        <family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77" formatCode="_-&quot;$&quot;* #,##0_-;\-&quot;$&quot;* #,##0_-;_-&quot;$&quot;* &quot;-&quot;??_-;_-@_-"/>
      <alignment horizontal="right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color auto="1"/>
        <vertAlign val="baseline"/>
      </font>
      <numFmt numFmtId="177" formatCode="_-&quot;$&quot;* #,##0_-;\-&quot;$&quot;* #,##0_-;_-&quot;$&quot;* &quot;-&quot;??_-;_-@_-"/>
      <fill>
        <patternFill>
          <fgColor indexed="64"/>
          <bgColor auto="1"/>
        </patternFill>
      </fill>
      <alignment horizontal="right" vertical="center" shrinkToFit="1"/>
      <border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name val="新細明體"/>
        <charset val="136"/>
        <family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77" formatCode="_-&quot;$&quot;* #,##0_-;\-&quot;$&quot;* #,##0_-;_-&quot;$&quot;* &quot;-&quot;??_-;_-@_-"/>
      <fill>
        <patternFill>
          <fgColor indexed="64"/>
          <bgColor indexed="65"/>
        </patternFill>
      </fill>
      <alignment horizontal="right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strike val="0"/>
        <outline val="0"/>
        <shadow val="0"/>
        <color auto="1"/>
        <vertAlign val="baseline"/>
      </font>
      <numFmt numFmtId="177" formatCode="_-&quot;$&quot;* #,##0_-;\-&quot;$&quot;* #,##0_-;_-&quot;$&quot;* &quot;-&quot;??_-;_-@_-"/>
      <fill>
        <patternFill>
          <fgColor indexed="64"/>
          <bgColor auto="1"/>
        </patternFill>
      </fill>
      <alignment horizontal="right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新細明體"/>
        <charset val="136"/>
        <family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77" formatCode="_-&quot;$&quot;* #,##0_-;\-&quot;$&quot;* #,##0_-;_-&quot;$&quot;* &quot;-&quot;??_-;_-@_-"/>
      <fill>
        <patternFill>
          <fgColor indexed="64"/>
          <bgColor indexed="65"/>
        </patternFill>
      </fill>
      <alignment horizontal="right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strike val="0"/>
        <outline val="0"/>
        <shadow val="0"/>
        <color auto="1"/>
        <vertAlign val="baseline"/>
      </font>
      <numFmt numFmtId="177" formatCode="_-&quot;$&quot;* #,##0_-;\-&quot;$&quot;* #,##0_-;_-&quot;$&quot;* &quot;-&quot;??_-;_-@_-"/>
      <fill>
        <patternFill>
          <fgColor indexed="64"/>
          <bgColor auto="1"/>
        </patternFill>
      </fill>
      <alignment horizontal="right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新細明體"/>
        <charset val="136"/>
        <family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77" formatCode="_-&quot;$&quot;* #,##0_-;\-&quot;$&quot;* #,##0_-;_-&quot;$&quot;* &quot;-&quot;??_-;_-@_-"/>
      <fill>
        <patternFill>
          <fgColor indexed="64"/>
          <bgColor indexed="65"/>
        </patternFill>
      </fill>
      <alignment horizontal="right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strike val="0"/>
        <outline val="0"/>
        <shadow val="0"/>
        <color auto="1"/>
        <vertAlign val="baseline"/>
      </font>
      <numFmt numFmtId="177" formatCode="_-&quot;$&quot;* #,##0_-;\-&quot;$&quot;* #,##0_-;_-&quot;$&quot;* &quot;-&quot;??_-;_-@_-"/>
      <fill>
        <patternFill>
          <fgColor indexed="64"/>
          <bgColor auto="1"/>
        </patternFill>
      </fill>
      <alignment horizontal="right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新細明體"/>
        <charset val="136"/>
        <family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76" formatCode="m/d;@"/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color auto="1"/>
        <vertAlign val="baseline"/>
      </font>
      <numFmt numFmtId="176" formatCode="m/d;@"/>
      <fill>
        <patternFill>
          <fgColor indexed="64"/>
          <bgColor auto="1"/>
        </patternFill>
      </fill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新細明體"/>
        <charset val="136"/>
        <family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76" formatCode="m/d;@"/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color auto="1"/>
        <vertAlign val="baseline"/>
      </font>
      <numFmt numFmtId="176" formatCode="m/d;@"/>
      <fill>
        <patternFill>
          <fgColor indexed="64"/>
          <bgColor auto="1"/>
        </patternFill>
      </fill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新細明體"/>
        <charset val="136"/>
        <family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76" formatCode="m/d;@"/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color auto="1"/>
        <vertAlign val="baseline"/>
      </font>
      <numFmt numFmtId="30" formatCode="@"/>
      <fill>
        <patternFill>
          <fgColor indexed="64"/>
          <bgColor auto="1"/>
        </patternFill>
      </fill>
      <alignment horizontal="general" vertical="center" shrinkToFi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name val="新細明體"/>
        <charset val="136"/>
        <family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78" formatCode="[$-800404]e/m/d;@"/>
      <alignment horizontal="general" vertical="center" shrinkToFit="1"/>
      <border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color auto="1"/>
        <vertAlign val="baseline"/>
      </font>
      <numFmt numFmtId="181" formatCode="[$-404]e/m/d;@"/>
      <fill>
        <patternFill>
          <fgColor indexed="64"/>
          <bgColor auto="1"/>
        </patternFill>
      </fill>
      <alignment horizontal="general" vertical="center" shrinkToFit="1"/>
      <border>
        <top style="medium">
          <color indexed="64"/>
        </top>
        <bottom style="medium">
          <color indexed="64"/>
        </bottom>
      </border>
    </dxf>
    <dxf>
      <font>
        <name val="新細明體"/>
        <charset val="136"/>
        <family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alignment horizontal="general" vertical="center" shrinkToFit="1"/>
      <border outline="0">
        <left/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alignment horizontal="general" vertical="center" shrinkToFit="1"/>
      <border outline="0">
        <left/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fill>
        <patternFill>
          <fgColor indexed="64"/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alignment horizontal="general" vertical="center" shrinkToFit="1"/>
    </dxf>
    <dxf>
      <border>
        <bottom style="medium">
          <color indexed="64"/>
        </bottom>
      </border>
    </dxf>
    <dxf>
      <font>
        <name val="新細明體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center" vertical="center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表格4" displayName="表格4" ref="A2:S108" headerRowCount="1" headerRowDxfId="64" dataDxfId="62" totalsRowDxfId="60" headerRowBorderDxfId="63" tableBorderDxfId="61" totalsRowBorderDxfId="59">
  <autoFilter ref="A2:S108"/>
  <sortState ref="A30:S83">
    <sortCondition ref="A2:A108"/>
  </sortState>
  <tableColumns count="19">
    <tableColumn id="1" name="發票號碼" totalsRowLabel="ZE99054395" dataDxfId="58" totalsRowDxfId="57"/>
    <tableColumn id="2" name="日期" dataDxfId="56" totalsRowDxfId="55"/>
    <tableColumn id="18" name="統編" dataDxfId="54" totalsRowDxfId="53"/>
    <tableColumn id="3" name="客戶" totalsRowLabel=" " dataDxfId="52" totalsRowDxfId="51"/>
    <tableColumn id="19" name="買受人" totalsRowLabel=" " dataDxfId="50" totalsRowDxfId="49"/>
    <tableColumn id="4" name="未稅金額" totalsRowLabel="   " dataDxfId="48" totalsRowDxfId="47" dataCellStyle="貨幣"/>
    <tableColumn id="5" name="稅額" totalsRowLabel="   " dataDxfId="46" totalsRowDxfId="45" dataCellStyle="貨幣"/>
    <tableColumn id="7" name="合計" totalsRowLabel="   " dataDxfId="44" totalsRowDxfId="43" dataCellStyle="貨幣"/>
    <tableColumn id="20" name="折讓" dataDxfId="42" totalsRowDxfId="41"/>
    <tableColumn id="8" name="支票帳號" totalsRowLabel="X" dataDxfId="40" totalsRowDxfId="39" dataCellStyle="一般 2"/>
    <tableColumn id="9" name="支票號碼" dataDxfId="38" totalsRowDxfId="37"/>
    <tableColumn id="10" name="到期日" dataDxfId="36" totalsRowDxfId="35"/>
    <tableColumn id="11" name="備註" dataDxfId="34" totalsRowDxfId="33"/>
    <tableColumn id="12" name="收票日" dataDxfId="32" totalsRowDxfId="31"/>
    <tableColumn id="13" name="實收金額" dataDxfId="30" totalsRowDxfId="29" dataCellStyle="貨幣">
      <calculatedColumnFormula>表格4[[#This Row],[合計]]-表格4[[#This Row],[折讓]]</calculatedColumnFormula>
    </tableColumn>
    <tableColumn id="14" name="送票銀行" dataDxfId="28" totalsRowDxfId="27"/>
    <tableColumn id="15" name="送票日" dataDxfId="26" totalsRowDxfId="25"/>
    <tableColumn id="16" name="送票帳號" dataDxfId="24" totalsRowDxfId="23"/>
    <tableColumn id="17" name="用途" dataDxfId="22" totalsRowDxfId="2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工作表3">
    <outlinePr summaryBelow="1" summaryRight="1"/>
    <pageSetUpPr fitToPage="1"/>
  </sheetPr>
  <dimension ref="A1:S112"/>
  <sheetViews>
    <sheetView tabSelected="1" zoomScale="80" zoomScaleNormal="80" workbookViewId="0">
      <selection activeCell="P74" sqref="P74:S74"/>
    </sheetView>
  </sheetViews>
  <sheetFormatPr baseColWidth="8" defaultColWidth="9" defaultRowHeight="24" customHeight="1"/>
  <cols>
    <col width="14.52734375" bestFit="1" customWidth="1" style="43" min="1" max="1"/>
    <col width="10.17578125" bestFit="1" customWidth="1" style="192" min="2" max="2"/>
    <col width="10.17578125" bestFit="1" customWidth="1" style="115" min="3" max="3"/>
    <col width="10.17578125" customWidth="1" style="193" min="4" max="4"/>
    <col hidden="1" width="27.17578125" customWidth="1" style="193" min="5" max="5"/>
    <col width="16" bestFit="1" customWidth="1" style="194" min="6" max="6"/>
    <col width="11.64453125" bestFit="1" customWidth="1" style="194" min="7" max="8"/>
    <col width="11.64453125" bestFit="1" customWidth="1" style="195" min="9" max="9"/>
    <col width="31.05859375" customWidth="1" style="119" min="10" max="10"/>
    <col width="20.64453125" customWidth="1" style="120" min="11" max="11"/>
    <col width="19" customWidth="1" style="196" min="12" max="12"/>
    <col width="14.234375" bestFit="1" customWidth="1" style="121" min="13" max="13"/>
    <col width="12.3515625" bestFit="1" customWidth="1" style="197" min="14" max="14"/>
    <col width="16" bestFit="1" customWidth="1" style="198" min="15" max="15"/>
    <col width="14.52734375" bestFit="1" customWidth="1" style="123" min="16" max="16"/>
    <col width="12.3515625" bestFit="1" customWidth="1" style="197" min="17" max="17"/>
    <col width="20.17578125" bestFit="1" customWidth="1" style="124" min="18" max="18"/>
    <col width="10.17578125" bestFit="1" customWidth="1" style="124" min="19" max="19"/>
    <col width="9" customWidth="1" style="43" min="20" max="27"/>
    <col width="9" customWidth="1" style="43" min="28" max="16384"/>
  </cols>
  <sheetData>
    <row r="1" ht="60.7" customFormat="1" customHeight="1" s="182">
      <c r="A1" s="181" t="inlineStr">
        <is>
          <t>11505收帳款</t>
        </is>
      </c>
    </row>
    <row r="2" ht="24" customFormat="1" customHeight="1" s="35" thickBot="1">
      <c r="A2" s="25" t="inlineStr">
        <is>
          <t>發票號碼</t>
        </is>
      </c>
      <c r="B2" s="199" t="inlineStr">
        <is>
          <t>日期</t>
        </is>
      </c>
      <c r="C2" s="26" t="inlineStr">
        <is>
          <t>統編</t>
        </is>
      </c>
      <c r="D2" s="200" t="inlineStr">
        <is>
          <t>客戶</t>
        </is>
      </c>
      <c r="E2" s="200" t="inlineStr">
        <is>
          <t>買受人</t>
        </is>
      </c>
      <c r="F2" s="201" t="inlineStr">
        <is>
          <t>未稅金額</t>
        </is>
      </c>
      <c r="G2" s="201" t="inlineStr">
        <is>
          <t>稅額</t>
        </is>
      </c>
      <c r="H2" s="201" t="inlineStr">
        <is>
          <t>合計</t>
        </is>
      </c>
      <c r="I2" s="202" t="inlineStr">
        <is>
          <t>折讓</t>
        </is>
      </c>
      <c r="J2" s="30" t="inlineStr">
        <is>
          <t>支票帳號</t>
        </is>
      </c>
      <c r="K2" s="31" t="inlineStr">
        <is>
          <t>支票號碼</t>
        </is>
      </c>
      <c r="L2" s="203" t="inlineStr">
        <is>
          <t>到期日</t>
        </is>
      </c>
      <c r="M2" s="32" t="inlineStr">
        <is>
          <t>備註</t>
        </is>
      </c>
      <c r="N2" s="203" t="inlineStr">
        <is>
          <t>收票日</t>
        </is>
      </c>
      <c r="O2" s="204" t="inlineStr">
        <is>
          <t>實收金額</t>
        </is>
      </c>
      <c r="P2" s="34" t="inlineStr">
        <is>
          <t>送票銀行</t>
        </is>
      </c>
      <c r="Q2" s="203" t="inlineStr">
        <is>
          <t>送票日</t>
        </is>
      </c>
      <c r="R2" s="34" t="inlineStr">
        <is>
          <t>送票帳號</t>
        </is>
      </c>
      <c r="S2" s="34" t="inlineStr">
        <is>
          <t>用途</t>
        </is>
      </c>
    </row>
    <row r="3" ht="24" customHeight="1" s="205" thickBot="1">
      <c r="A3" s="162" t="inlineStr">
        <is>
          <t>BJ18673450</t>
        </is>
      </c>
      <c r="B3" s="206" t="inlineStr">
        <is>
          <t>115/05/04</t>
        </is>
      </c>
      <c r="C3" s="164" t="inlineStr">
        <is>
          <t>89871129</t>
        </is>
      </c>
      <c r="D3" s="165" t="inlineStr">
        <is>
          <t xml:space="preserve"> 鈞亘</t>
        </is>
      </c>
      <c r="E3" s="7" t="inlineStr">
        <is>
          <t xml:space="preserve"> 鈞亘鋼鐵股份有限公司</t>
        </is>
      </c>
      <c r="F3" s="207" t="n">
        <v>5277750</v>
      </c>
      <c r="G3" s="207" t="n">
        <v>263888</v>
      </c>
      <c r="H3" s="207" t="n">
        <v>5541638</v>
      </c>
      <c r="I3" s="208" t="n"/>
      <c r="J3" s="177" t="inlineStr">
        <is>
          <t>L/C</t>
        </is>
      </c>
      <c r="K3" s="161" t="n"/>
      <c r="L3" s="209" t="n"/>
      <c r="M3" s="161" t="n"/>
      <c r="N3" s="210" t="n"/>
      <c r="O3" s="211">
        <f>表格4[[#This Row],[合計]]-表格4[[#This Row],[折讓]]</f>
        <v/>
      </c>
      <c r="P3" s="161" t="n"/>
      <c r="Q3" s="210" t="n"/>
      <c r="R3" s="212" t="n"/>
      <c r="S3" s="161" t="n"/>
    </row>
    <row r="4" ht="24" customHeight="1" s="205" thickBot="1">
      <c r="A4" s="162" t="inlineStr">
        <is>
          <t>BJ18673451</t>
        </is>
      </c>
      <c r="B4" s="206" t="inlineStr">
        <is>
          <t>115/05/04</t>
        </is>
      </c>
      <c r="C4" s="164" t="inlineStr">
        <is>
          <t>89871129</t>
        </is>
      </c>
      <c r="D4" s="165" t="inlineStr">
        <is>
          <t xml:space="preserve"> 鈞亘</t>
        </is>
      </c>
      <c r="E4" s="7" t="inlineStr">
        <is>
          <t xml:space="preserve"> 鈞亘鋼鐵股份有限公司</t>
        </is>
      </c>
      <c r="F4" s="207" t="n">
        <v>2216996</v>
      </c>
      <c r="G4" s="207" t="n">
        <v>110850</v>
      </c>
      <c r="H4" s="207" t="n">
        <v>2327846</v>
      </c>
      <c r="I4" s="208" t="n"/>
      <c r="J4" s="177" t="inlineStr">
        <is>
          <t>L/C</t>
        </is>
      </c>
      <c r="K4" s="161" t="n"/>
      <c r="L4" s="209" t="n"/>
      <c r="M4" s="161" t="n"/>
      <c r="N4" s="210" t="n"/>
      <c r="O4" s="211">
        <f>表格4[[#This Row],[合計]]-表格4[[#This Row],[折讓]]</f>
        <v/>
      </c>
      <c r="P4" s="161" t="n"/>
      <c r="Q4" s="210" t="n"/>
      <c r="R4" s="212" t="n"/>
      <c r="S4" s="161" t="n"/>
    </row>
    <row r="5" ht="24" customHeight="1" s="205" thickBot="1">
      <c r="A5" s="10" t="inlineStr">
        <is>
          <t>BJ18673452</t>
        </is>
      </c>
      <c r="B5" s="213" t="inlineStr">
        <is>
          <t>115/05/04</t>
        </is>
      </c>
      <c r="C5" s="9" t="inlineStr">
        <is>
          <t>89510940</t>
        </is>
      </c>
      <c r="D5" s="6" t="inlineStr">
        <is>
          <t xml:space="preserve"> 松騰</t>
        </is>
      </c>
      <c r="E5" s="7" t="inlineStr">
        <is>
          <t xml:space="preserve"> 松騰金屬有限公司</t>
        </is>
      </c>
      <c r="F5" s="214" t="n">
        <v>331475</v>
      </c>
      <c r="G5" s="214" t="n">
        <v>16574</v>
      </c>
      <c r="H5" s="214" t="n">
        <v>348049</v>
      </c>
      <c r="I5" s="215" t="n"/>
      <c r="J5" s="38" t="inlineStr">
        <is>
          <t>京城西港015009681</t>
        </is>
      </c>
      <c r="K5" s="39" t="inlineStr">
        <is>
          <t>5820890、5820891</t>
        </is>
      </c>
      <c r="L5" s="216" t="n">
        <v>46203</v>
      </c>
      <c r="M5" s="39" t="inlineStr">
        <is>
          <t>含5820891(16,574)到期115/07/14</t>
        </is>
      </c>
      <c r="N5" s="217" t="n">
        <v>46211</v>
      </c>
      <c r="O5" s="218">
        <f>表格4[[#This Row],[合計]]-表格4[[#This Row],[折讓]]</f>
        <v/>
      </c>
      <c r="P5" s="39" t="inlineStr">
        <is>
          <t>永豐</t>
        </is>
      </c>
      <c r="Q5" s="217" t="n">
        <v>46211</v>
      </c>
      <c r="R5" s="219" t="inlineStr">
        <is>
          <t>15000100182967</t>
        </is>
      </c>
      <c r="S5" s="39" t="inlineStr">
        <is>
          <t>託收</t>
        </is>
      </c>
    </row>
    <row r="6" ht="24" customHeight="1" s="205" thickBot="1">
      <c r="A6" s="10" t="inlineStr">
        <is>
          <t>BJ18673453</t>
        </is>
      </c>
      <c r="B6" s="213" t="inlineStr">
        <is>
          <t>115/05/04</t>
        </is>
      </c>
      <c r="C6" s="9" t="inlineStr">
        <is>
          <t>54869230</t>
        </is>
      </c>
      <c r="D6" s="6" t="inlineStr">
        <is>
          <t xml:space="preserve"> 鼎碩</t>
        </is>
      </c>
      <c r="E6" s="7" t="inlineStr">
        <is>
          <t xml:space="preserve"> 鼎碩金屬工業有限公司</t>
        </is>
      </c>
      <c r="F6" s="214" t="n">
        <v>14175</v>
      </c>
      <c r="G6" s="214" t="n">
        <v>709</v>
      </c>
      <c r="H6" s="214" t="n">
        <v>14884</v>
      </c>
      <c r="I6" s="215" t="n"/>
      <c r="J6" s="44" t="n"/>
      <c r="K6" s="39" t="n"/>
      <c r="L6" s="220" t="n"/>
      <c r="M6" s="39" t="n"/>
      <c r="N6" s="221" t="n"/>
      <c r="O6" s="218">
        <f>表格4[[#This Row],[合計]]-表格4[[#This Row],[折讓]]</f>
        <v/>
      </c>
      <c r="P6" s="39" t="n"/>
      <c r="Q6" s="221" t="n"/>
      <c r="R6" s="219" t="n"/>
      <c r="S6" s="39" t="n"/>
    </row>
    <row r="7" ht="24" customHeight="1" s="205" thickBot="1">
      <c r="A7" s="10" t="inlineStr">
        <is>
          <t>BJ18673454</t>
        </is>
      </c>
      <c r="B7" s="213" t="inlineStr">
        <is>
          <t>115/05/04</t>
        </is>
      </c>
      <c r="C7" s="9" t="inlineStr">
        <is>
          <t>97415975</t>
        </is>
      </c>
      <c r="D7" s="6" t="inlineStr">
        <is>
          <t xml:space="preserve"> 裕煌成</t>
        </is>
      </c>
      <c r="E7" s="7" t="inlineStr">
        <is>
          <t xml:space="preserve"> 裕煌成金屬有限公司</t>
        </is>
      </c>
      <c r="F7" s="214" t="n">
        <v>18830</v>
      </c>
      <c r="G7" s="214" t="n">
        <v>942</v>
      </c>
      <c r="H7" s="214" t="n">
        <v>19772</v>
      </c>
      <c r="I7" s="215" t="n"/>
      <c r="J7" s="38" t="inlineStr">
        <is>
          <t>永豐新莊12303100186866</t>
        </is>
      </c>
      <c r="K7" s="39" t="inlineStr">
        <is>
          <t>AS3361484</t>
        </is>
      </c>
      <c r="L7" s="216" t="n">
        <v>46280</v>
      </c>
      <c r="M7" s="39" t="inlineStr">
        <is>
          <t>禁背</t>
        </is>
      </c>
      <c r="N7" s="217" t="n">
        <v>46211</v>
      </c>
      <c r="O7" s="218">
        <f>表格4[[#This Row],[合計]]-表格4[[#This Row],[折讓]]</f>
        <v/>
      </c>
      <c r="P7" s="39" t="inlineStr">
        <is>
          <t>永豐</t>
        </is>
      </c>
      <c r="Q7" s="217" t="n">
        <v>46211</v>
      </c>
      <c r="R7" s="219" t="inlineStr">
        <is>
          <t>15000100182967</t>
        </is>
      </c>
      <c r="S7" s="39" t="inlineStr">
        <is>
          <t>託收</t>
        </is>
      </c>
    </row>
    <row r="8" ht="24" customHeight="1" s="205" thickBot="1">
      <c r="A8" s="10" t="inlineStr">
        <is>
          <t>BJ18673455</t>
        </is>
      </c>
      <c r="B8" s="213" t="inlineStr">
        <is>
          <t>115/05/04</t>
        </is>
      </c>
      <c r="C8" s="9" t="inlineStr">
        <is>
          <t>84405639</t>
        </is>
      </c>
      <c r="D8" s="6" t="inlineStr">
        <is>
          <t xml:space="preserve"> 寶鎬</t>
        </is>
      </c>
      <c r="E8" s="7" t="inlineStr">
        <is>
          <t xml:space="preserve"> 寶鎬不銹鋼股份有限公司</t>
        </is>
      </c>
      <c r="F8" s="214" t="n">
        <v>22740</v>
      </c>
      <c r="G8" s="214" t="n">
        <v>1137</v>
      </c>
      <c r="H8" s="214" t="n">
        <v>23877</v>
      </c>
      <c r="I8" s="215" t="n"/>
      <c r="J8" s="44" t="inlineStr">
        <is>
          <t>華南永康160002871</t>
        </is>
      </c>
      <c r="K8" s="39" t="inlineStr">
        <is>
          <t>TD7288870</t>
        </is>
      </c>
      <c r="L8" s="216" t="n">
        <v>46280</v>
      </c>
      <c r="M8" s="39" t="inlineStr">
        <is>
          <t>禁背</t>
        </is>
      </c>
      <c r="N8" s="217" t="n">
        <v>46211</v>
      </c>
      <c r="O8" s="218">
        <f>表格4[[#This Row],[合計]]-表格4[[#This Row],[折讓]]</f>
        <v/>
      </c>
      <c r="P8" s="39" t="inlineStr">
        <is>
          <t>永豐</t>
        </is>
      </c>
      <c r="Q8" s="217" t="n">
        <v>46211</v>
      </c>
      <c r="R8" s="219" t="inlineStr">
        <is>
          <t>15000100182967</t>
        </is>
      </c>
      <c r="S8" s="39" t="inlineStr">
        <is>
          <t>託收</t>
        </is>
      </c>
    </row>
    <row r="9" ht="24" customHeight="1" s="205" thickBot="1">
      <c r="A9" s="10" t="inlineStr">
        <is>
          <t>BJ18673456</t>
        </is>
      </c>
      <c r="B9" s="213" t="inlineStr">
        <is>
          <t>115/05/05</t>
        </is>
      </c>
      <c r="C9" s="9" t="inlineStr">
        <is>
          <t>97415975</t>
        </is>
      </c>
      <c r="D9" s="6" t="inlineStr">
        <is>
          <t xml:space="preserve"> 裕煌成</t>
        </is>
      </c>
      <c r="E9" s="7" t="inlineStr">
        <is>
          <t xml:space="preserve"> 裕煌成金屬有限公司</t>
        </is>
      </c>
      <c r="F9" s="214" t="n">
        <v>10080</v>
      </c>
      <c r="G9" s="214" t="n">
        <v>504</v>
      </c>
      <c r="H9" s="214" t="n">
        <v>10584</v>
      </c>
      <c r="I9" s="215" t="n"/>
      <c r="J9" s="38" t="inlineStr">
        <is>
          <t>永豐新莊12303100186866</t>
        </is>
      </c>
      <c r="K9" s="45" t="inlineStr">
        <is>
          <t>AS3361484</t>
        </is>
      </c>
      <c r="L9" s="216" t="n">
        <v>46280</v>
      </c>
      <c r="M9" s="39" t="inlineStr">
        <is>
          <t>禁背</t>
        </is>
      </c>
      <c r="N9" s="217" t="n">
        <v>46211</v>
      </c>
      <c r="O9" s="218">
        <f>表格4[[#This Row],[合計]]-表格4[[#This Row],[折讓]]</f>
        <v/>
      </c>
      <c r="P9" s="39" t="inlineStr">
        <is>
          <t>永豐</t>
        </is>
      </c>
      <c r="Q9" s="217" t="n">
        <v>46211</v>
      </c>
      <c r="R9" s="219" t="inlineStr">
        <is>
          <t>15000100182967</t>
        </is>
      </c>
      <c r="S9" s="39" t="inlineStr">
        <is>
          <t>託收</t>
        </is>
      </c>
    </row>
    <row r="10" ht="24" customHeight="1" s="205" thickBot="1">
      <c r="A10" s="10" t="inlineStr">
        <is>
          <t>BJ18673457</t>
        </is>
      </c>
      <c r="B10" s="213" t="inlineStr">
        <is>
          <t>115/05/05</t>
        </is>
      </c>
      <c r="C10" s="9" t="inlineStr">
        <is>
          <t>22556208</t>
        </is>
      </c>
      <c r="D10" s="6" t="inlineStr">
        <is>
          <t xml:space="preserve"> 煌傑</t>
        </is>
      </c>
      <c r="E10" s="7" t="inlineStr">
        <is>
          <t xml:space="preserve"> 煌傑金屬複合材料科技(股)公司</t>
        </is>
      </c>
      <c r="F10" s="214" t="n">
        <v>4410</v>
      </c>
      <c r="G10" s="214" t="n">
        <v>221</v>
      </c>
      <c r="H10" s="214" t="n">
        <v>4631</v>
      </c>
      <c r="I10" s="222" t="n"/>
      <c r="J10" s="44" t="n"/>
      <c r="K10" s="39" t="n"/>
      <c r="L10" s="220" t="n"/>
      <c r="M10" s="39" t="n"/>
      <c r="N10" s="221" t="n"/>
      <c r="O10" s="218">
        <f>表格4[[#This Row],[合計]]-表格4[[#This Row],[折讓]]</f>
        <v/>
      </c>
      <c r="P10" s="39" t="n"/>
      <c r="Q10" s="221" t="n"/>
      <c r="R10" s="219" t="n"/>
      <c r="S10" s="39" t="n"/>
    </row>
    <row r="11" ht="24" customHeight="1" s="205" thickBot="1">
      <c r="A11" s="10" t="inlineStr">
        <is>
          <t>BJ18673458</t>
        </is>
      </c>
      <c r="B11" s="213" t="inlineStr">
        <is>
          <t>115/05/06</t>
        </is>
      </c>
      <c r="C11" s="9" t="inlineStr">
        <is>
          <t>34482420</t>
        </is>
      </c>
      <c r="D11" s="6" t="inlineStr">
        <is>
          <t xml:space="preserve"> 昌平</t>
        </is>
      </c>
      <c r="E11" s="7" t="inlineStr">
        <is>
          <t xml:space="preserve"> 昌平實業股份有限公司</t>
        </is>
      </c>
      <c r="F11" s="214" t="n">
        <v>3080</v>
      </c>
      <c r="G11" s="214" t="n">
        <v>154</v>
      </c>
      <c r="H11" s="214" t="n">
        <v>3234</v>
      </c>
      <c r="I11" s="222" t="n"/>
      <c r="J11" s="44" t="inlineStr">
        <is>
          <t>玉山迴龍1012435001853</t>
        </is>
      </c>
      <c r="K11" s="39" t="inlineStr">
        <is>
          <t>AM7929898</t>
        </is>
      </c>
      <c r="L11" s="220" t="n">
        <v>46275</v>
      </c>
      <c r="M11" s="39" t="n"/>
      <c r="N11" s="221" t="n"/>
      <c r="O11" s="218" t="n">
        <v>1351098</v>
      </c>
      <c r="P11" s="53" t="inlineStr">
        <is>
          <t>彰銀</t>
        </is>
      </c>
      <c r="Q11" s="221" t="n"/>
      <c r="R11" s="219" t="n">
        <v>57100101404800</v>
      </c>
      <c r="S11" s="39" t="inlineStr">
        <is>
          <t>交換</t>
        </is>
      </c>
    </row>
    <row r="12" ht="24" customHeight="1" s="205" thickBot="1">
      <c r="A12" s="10" t="inlineStr">
        <is>
          <t>BJ18673459</t>
        </is>
      </c>
      <c r="B12" s="213" t="inlineStr">
        <is>
          <t>115/05/06</t>
        </is>
      </c>
      <c r="C12" s="9" t="inlineStr">
        <is>
          <t>97415975</t>
        </is>
      </c>
      <c r="D12" s="6" t="inlineStr">
        <is>
          <t xml:space="preserve"> 裕煌成</t>
        </is>
      </c>
      <c r="E12" s="7" t="inlineStr">
        <is>
          <t xml:space="preserve"> 裕煌成金屬有限公司</t>
        </is>
      </c>
      <c r="F12" s="214" t="n">
        <v>50265</v>
      </c>
      <c r="G12" s="214" t="n">
        <v>2513</v>
      </c>
      <c r="H12" s="214" t="n">
        <v>52778</v>
      </c>
      <c r="I12" s="215" t="n"/>
      <c r="J12" s="44" t="inlineStr">
        <is>
          <t>永豐新莊12303100186866</t>
        </is>
      </c>
      <c r="K12" s="39" t="inlineStr">
        <is>
          <t>AS3361484</t>
        </is>
      </c>
      <c r="L12" s="216" t="n">
        <v>46280</v>
      </c>
      <c r="M12" s="223" t="inlineStr">
        <is>
          <t>禁背</t>
        </is>
      </c>
      <c r="N12" s="217" t="n">
        <v>46211</v>
      </c>
      <c r="O12" s="218">
        <f>表格4[[#This Row],[合計]]-表格4[[#This Row],[折讓]]</f>
        <v/>
      </c>
      <c r="P12" s="39" t="inlineStr">
        <is>
          <t>永豐</t>
        </is>
      </c>
      <c r="Q12" s="217" t="n">
        <v>46211</v>
      </c>
      <c r="R12" s="219" t="inlineStr">
        <is>
          <t>15000100182967</t>
        </is>
      </c>
      <c r="S12" s="39" t="inlineStr">
        <is>
          <t>託收</t>
        </is>
      </c>
    </row>
    <row r="13" ht="24" customHeight="1" s="205" thickBot="1">
      <c r="A13" s="10" t="inlineStr">
        <is>
          <t>BJ18673460</t>
        </is>
      </c>
      <c r="B13" s="213" t="inlineStr">
        <is>
          <t>115/05/07</t>
        </is>
      </c>
      <c r="C13" s="9" t="inlineStr">
        <is>
          <t>97415975</t>
        </is>
      </c>
      <c r="D13" s="6" t="inlineStr">
        <is>
          <t xml:space="preserve"> 裕煌成</t>
        </is>
      </c>
      <c r="E13" s="7" t="inlineStr">
        <is>
          <t xml:space="preserve"> 裕煌成金屬有限公司</t>
        </is>
      </c>
      <c r="F13" s="214" t="n">
        <v>11972</v>
      </c>
      <c r="G13" s="214" t="n">
        <v>599</v>
      </c>
      <c r="H13" s="214" t="n">
        <v>12571</v>
      </c>
      <c r="I13" s="215" t="n"/>
      <c r="J13" s="44" t="inlineStr">
        <is>
          <t>永豐新莊12303100186866</t>
        </is>
      </c>
      <c r="K13" s="39" t="inlineStr">
        <is>
          <t>AS3361484</t>
        </is>
      </c>
      <c r="L13" s="216" t="n">
        <v>46280</v>
      </c>
      <c r="M13" s="223" t="inlineStr">
        <is>
          <t>禁背</t>
        </is>
      </c>
      <c r="N13" s="217" t="n">
        <v>46211</v>
      </c>
      <c r="O13" s="218">
        <f>表格4[[#This Row],[合計]]-表格4[[#This Row],[折讓]]</f>
        <v/>
      </c>
      <c r="P13" s="39" t="inlineStr">
        <is>
          <t>永豐</t>
        </is>
      </c>
      <c r="Q13" s="217" t="n">
        <v>46211</v>
      </c>
      <c r="R13" s="219" t="inlineStr">
        <is>
          <t>15000100182967</t>
        </is>
      </c>
      <c r="S13" s="39" t="inlineStr">
        <is>
          <t>託收</t>
        </is>
      </c>
    </row>
    <row r="14" ht="24" customHeight="1" s="205" thickBot="1">
      <c r="A14" s="10" t="inlineStr">
        <is>
          <t>BJ18673461</t>
        </is>
      </c>
      <c r="B14" s="213" t="inlineStr">
        <is>
          <t>115/05/08</t>
        </is>
      </c>
      <c r="C14" s="9" t="inlineStr">
        <is>
          <t>54869230</t>
        </is>
      </c>
      <c r="D14" s="6" t="inlineStr">
        <is>
          <t xml:space="preserve"> 鼎碩</t>
        </is>
      </c>
      <c r="E14" s="7" t="inlineStr">
        <is>
          <t xml:space="preserve"> 鼎碩金屬工業有限公司</t>
        </is>
      </c>
      <c r="F14" s="214" t="n">
        <v>7728</v>
      </c>
      <c r="G14" s="214" t="n">
        <v>386</v>
      </c>
      <c r="H14" s="214" t="n">
        <v>8114</v>
      </c>
      <c r="I14" s="215" t="n"/>
      <c r="J14" s="38" t="n"/>
      <c r="K14" s="45" t="n"/>
      <c r="L14" s="220" t="n"/>
      <c r="M14" s="39" t="n"/>
      <c r="N14" s="221" t="n"/>
      <c r="O14" s="218">
        <f>表格4[[#This Row],[合計]]-表格4[[#This Row],[折讓]]</f>
        <v/>
      </c>
      <c r="P14" s="39" t="n"/>
      <c r="Q14" s="221" t="n"/>
      <c r="R14" s="219" t="n"/>
      <c r="S14" s="39" t="n"/>
    </row>
    <row r="15" ht="24" customHeight="1" s="205" thickBot="1">
      <c r="A15" s="162" t="inlineStr">
        <is>
          <t>BJ18673462</t>
        </is>
      </c>
      <c r="B15" s="206" t="inlineStr">
        <is>
          <t>115/05/12</t>
        </is>
      </c>
      <c r="C15" s="164" t="inlineStr">
        <is>
          <t>31285902</t>
        </is>
      </c>
      <c r="D15" s="165" t="inlineStr">
        <is>
          <t xml:space="preserve"> 綠茵</t>
        </is>
      </c>
      <c r="E15" s="7" t="inlineStr">
        <is>
          <t xml:space="preserve"> 綠茵電機有限公司</t>
        </is>
      </c>
      <c r="F15" s="207" t="n">
        <v>374136</v>
      </c>
      <c r="G15" s="207" t="n">
        <v>18707</v>
      </c>
      <c r="H15" s="207" t="n">
        <v>392843</v>
      </c>
      <c r="I15" s="208" t="n"/>
      <c r="J15" s="177" t="inlineStr">
        <is>
          <t>永豐T/T</t>
        </is>
      </c>
      <c r="K15" s="161" t="n"/>
      <c r="L15" s="209" t="n">
        <v>46203</v>
      </c>
      <c r="M15" s="161" t="n"/>
      <c r="N15" s="210" t="n"/>
      <c r="O15" s="211">
        <f>表格4[[#This Row],[合計]]-表格4[[#This Row],[折讓]]</f>
        <v/>
      </c>
      <c r="P15" s="161" t="n"/>
      <c r="Q15" s="210" t="n"/>
      <c r="R15" s="212" t="n"/>
      <c r="S15" s="161" t="n"/>
    </row>
    <row r="16" ht="24" customHeight="1" s="205" thickBot="1">
      <c r="A16" s="10" t="inlineStr">
        <is>
          <t>BJ18673463</t>
        </is>
      </c>
      <c r="B16" s="213" t="inlineStr">
        <is>
          <t>115/05/12</t>
        </is>
      </c>
      <c r="C16" s="9" t="inlineStr">
        <is>
          <t>97415975</t>
        </is>
      </c>
      <c r="D16" s="6" t="inlineStr">
        <is>
          <t xml:space="preserve"> 裕煌成</t>
        </is>
      </c>
      <c r="E16" s="7" t="inlineStr">
        <is>
          <t xml:space="preserve"> 裕煌成金屬有限公司</t>
        </is>
      </c>
      <c r="F16" s="214" t="n">
        <v>360396</v>
      </c>
      <c r="G16" s="214" t="n">
        <v>18020</v>
      </c>
      <c r="H16" s="214" t="n">
        <v>378416</v>
      </c>
      <c r="I16" s="215" t="n"/>
      <c r="J16" s="44" t="inlineStr">
        <is>
          <t>永豐新莊12303100186866</t>
        </is>
      </c>
      <c r="K16" s="39" t="inlineStr">
        <is>
          <t>AS3361484</t>
        </is>
      </c>
      <c r="L16" s="216" t="n">
        <v>46280</v>
      </c>
      <c r="M16" s="39" t="inlineStr">
        <is>
          <t>禁背</t>
        </is>
      </c>
      <c r="N16" s="217" t="n">
        <v>46211</v>
      </c>
      <c r="O16" s="218">
        <f>表格4[[#This Row],[合計]]-表格4[[#This Row],[折讓]]</f>
        <v/>
      </c>
      <c r="P16" s="39" t="inlineStr">
        <is>
          <t>永豐</t>
        </is>
      </c>
      <c r="Q16" s="217" t="n">
        <v>46211</v>
      </c>
      <c r="R16" s="219" t="inlineStr">
        <is>
          <t>15000100182967</t>
        </is>
      </c>
      <c r="S16" s="39" t="inlineStr">
        <is>
          <t>託收</t>
        </is>
      </c>
    </row>
    <row r="17" ht="24" customHeight="1" s="205" thickBot="1">
      <c r="A17" s="10" t="inlineStr">
        <is>
          <t>BJ18673464</t>
        </is>
      </c>
      <c r="B17" s="213" t="inlineStr">
        <is>
          <t>115/05/13</t>
        </is>
      </c>
      <c r="C17" s="9" t="inlineStr">
        <is>
          <t>97415975</t>
        </is>
      </c>
      <c r="D17" s="6" t="inlineStr">
        <is>
          <t xml:space="preserve"> 裕煌成</t>
        </is>
      </c>
      <c r="E17" s="7" t="inlineStr">
        <is>
          <t xml:space="preserve"> 裕煌成金屬有限公司</t>
        </is>
      </c>
      <c r="F17" s="214" t="n">
        <v>21640</v>
      </c>
      <c r="G17" s="214" t="n">
        <v>1082</v>
      </c>
      <c r="H17" s="214" t="n">
        <v>22722</v>
      </c>
      <c r="I17" s="224" t="n"/>
      <c r="J17" s="44" t="inlineStr">
        <is>
          <t>永豐新莊12303100186866</t>
        </is>
      </c>
      <c r="K17" s="39" t="inlineStr">
        <is>
          <t>AS3361484</t>
        </is>
      </c>
      <c r="L17" s="216" t="n">
        <v>46280</v>
      </c>
      <c r="M17" s="39" t="inlineStr">
        <is>
          <t>禁背</t>
        </is>
      </c>
      <c r="N17" s="217" t="n">
        <v>46211</v>
      </c>
      <c r="O17" s="218">
        <f>表格4[[#This Row],[合計]]-表格4[[#This Row],[折讓]]</f>
        <v/>
      </c>
      <c r="P17" s="39" t="inlineStr">
        <is>
          <t>永豐</t>
        </is>
      </c>
      <c r="Q17" s="217" t="n">
        <v>46211</v>
      </c>
      <c r="R17" s="219" t="inlineStr">
        <is>
          <t>15000100182967</t>
        </is>
      </c>
      <c r="S17" s="39" t="inlineStr">
        <is>
          <t>託收</t>
        </is>
      </c>
    </row>
    <row r="18" ht="24" customHeight="1" s="205" thickBot="1">
      <c r="A18" s="162" t="inlineStr">
        <is>
          <t>BJ18673465</t>
        </is>
      </c>
      <c r="B18" s="206" t="inlineStr">
        <is>
          <t>115/05/13</t>
        </is>
      </c>
      <c r="C18" s="164" t="inlineStr">
        <is>
          <t>73626826</t>
        </is>
      </c>
      <c r="D18" s="165" t="inlineStr">
        <is>
          <t xml:space="preserve"> 桂盟</t>
        </is>
      </c>
      <c r="E18" s="7" t="inlineStr">
        <is>
          <t xml:space="preserve"> 桂盟企業股份有限公司</t>
        </is>
      </c>
      <c r="F18" s="207" t="n">
        <v>149880</v>
      </c>
      <c r="G18" s="207" t="n">
        <v>7494</v>
      </c>
      <c r="H18" s="207" t="n">
        <v>157374</v>
      </c>
      <c r="I18" s="208" t="n"/>
      <c r="J18" s="177" t="inlineStr">
        <is>
          <t>彰銀T/T</t>
        </is>
      </c>
      <c r="K18" s="180" t="n"/>
      <c r="L18" s="209" t="n"/>
      <c r="M18" s="161" t="n"/>
      <c r="N18" s="210" t="n"/>
      <c r="O18" s="211">
        <f>表格4[[#This Row],[合計]]-表格4[[#This Row],[折讓]]</f>
        <v/>
      </c>
      <c r="P18" s="161" t="n"/>
      <c r="Q18" s="210" t="n"/>
      <c r="R18" s="212" t="n"/>
      <c r="S18" s="161" t="n"/>
    </row>
    <row r="19" ht="24" customHeight="1" s="205" thickBot="1">
      <c r="A19" s="162" t="inlineStr">
        <is>
          <t>BJ18673466</t>
        </is>
      </c>
      <c r="B19" s="206" t="inlineStr">
        <is>
          <t>115/05/13</t>
        </is>
      </c>
      <c r="C19" s="164" t="inlineStr">
        <is>
          <t>23845797</t>
        </is>
      </c>
      <c r="D19" s="165" t="inlineStr">
        <is>
          <t xml:space="preserve"> 航將</t>
        </is>
      </c>
      <c r="E19" s="7" t="inlineStr">
        <is>
          <t xml:space="preserve"> 航將工業有限公司</t>
        </is>
      </c>
      <c r="F19" s="207" t="n">
        <v>1407080</v>
      </c>
      <c r="G19" s="207" t="n">
        <v>70354</v>
      </c>
      <c r="H19" s="207" t="n">
        <v>1477434</v>
      </c>
      <c r="I19" s="208" t="n"/>
      <c r="J19" s="177" t="inlineStr">
        <is>
          <t>L/C</t>
        </is>
      </c>
      <c r="K19" s="180" t="n"/>
      <c r="L19" s="209" t="n"/>
      <c r="M19" s="161" t="n"/>
      <c r="N19" s="210" t="n"/>
      <c r="O19" s="211">
        <f>表格4[[#This Row],[合計]]-表格4[[#This Row],[折讓]]</f>
        <v/>
      </c>
      <c r="P19" s="161" t="n"/>
      <c r="Q19" s="210" t="n"/>
      <c r="R19" s="212" t="n"/>
      <c r="S19" s="161" t="n"/>
    </row>
    <row r="20" ht="24" customHeight="1" s="205" thickBot="1">
      <c r="A20" s="10" t="inlineStr">
        <is>
          <t>BJ18673467</t>
        </is>
      </c>
      <c r="B20" s="213" t="inlineStr">
        <is>
          <t>115/05/15</t>
        </is>
      </c>
      <c r="C20" s="9" t="inlineStr">
        <is>
          <t>97415975</t>
        </is>
      </c>
      <c r="D20" s="6" t="inlineStr">
        <is>
          <t xml:space="preserve"> 裕煌成</t>
        </is>
      </c>
      <c r="E20" s="7" t="inlineStr">
        <is>
          <t xml:space="preserve"> 裕煌成金屬有限公司</t>
        </is>
      </c>
      <c r="F20" s="214" t="n">
        <v>274525</v>
      </c>
      <c r="G20" s="214" t="n">
        <v>13726</v>
      </c>
      <c r="H20" s="214" t="n">
        <v>288251</v>
      </c>
      <c r="I20" s="215" t="n"/>
      <c r="J20" s="44" t="inlineStr">
        <is>
          <t>永豐新莊12303100186866</t>
        </is>
      </c>
      <c r="K20" s="39" t="inlineStr">
        <is>
          <t>AS3361484</t>
        </is>
      </c>
      <c r="L20" s="216" t="n">
        <v>46280</v>
      </c>
      <c r="M20" s="39" t="inlineStr">
        <is>
          <t>禁背</t>
        </is>
      </c>
      <c r="N20" s="217" t="n">
        <v>46211</v>
      </c>
      <c r="O20" s="218">
        <f>表格4[[#This Row],[合計]]-表格4[[#This Row],[折讓]]</f>
        <v/>
      </c>
      <c r="P20" s="39" t="inlineStr">
        <is>
          <t>永豐</t>
        </is>
      </c>
      <c r="Q20" s="217" t="n">
        <v>46211</v>
      </c>
      <c r="R20" s="219" t="inlineStr">
        <is>
          <t>15000100182967</t>
        </is>
      </c>
      <c r="S20" s="39" t="inlineStr">
        <is>
          <t>託收</t>
        </is>
      </c>
    </row>
    <row r="21" ht="24" customHeight="1" s="205" thickBot="1">
      <c r="A21" s="10" t="inlineStr">
        <is>
          <t>BJ18673468</t>
        </is>
      </c>
      <c r="B21" s="213" t="inlineStr">
        <is>
          <t>115/05/15</t>
        </is>
      </c>
      <c r="C21" s="9" t="inlineStr">
        <is>
          <t>54869230</t>
        </is>
      </c>
      <c r="D21" s="6" t="inlineStr">
        <is>
          <t xml:space="preserve"> 鼎碩</t>
        </is>
      </c>
      <c r="E21" s="7" t="inlineStr">
        <is>
          <t xml:space="preserve"> 鼎碩金屬工業有限公司</t>
        </is>
      </c>
      <c r="F21" s="214" t="n">
        <v>7475</v>
      </c>
      <c r="G21" s="214" t="n">
        <v>374</v>
      </c>
      <c r="H21" s="214" t="n">
        <v>7849</v>
      </c>
      <c r="I21" s="215" t="n"/>
      <c r="J21" s="38" t="n"/>
      <c r="K21" s="39" t="n"/>
      <c r="L21" s="220" t="n"/>
      <c r="M21" s="39" t="n"/>
      <c r="N21" s="221" t="n"/>
      <c r="O21" s="218">
        <f>表格4[[#This Row],[合計]]-表格4[[#This Row],[折讓]]</f>
        <v/>
      </c>
      <c r="P21" s="39" t="n"/>
      <c r="Q21" s="221" t="n"/>
      <c r="R21" s="219" t="n"/>
      <c r="S21" s="39" t="n"/>
    </row>
    <row r="22" ht="24" customHeight="1" s="205" thickBot="1">
      <c r="A22" s="10" t="inlineStr">
        <is>
          <t>BJ18673469</t>
        </is>
      </c>
      <c r="B22" s="213" t="inlineStr">
        <is>
          <t>115/05/18</t>
        </is>
      </c>
      <c r="C22" s="9" t="inlineStr">
        <is>
          <t>24507703</t>
        </is>
      </c>
      <c r="D22" s="6" t="inlineStr">
        <is>
          <t xml:space="preserve"> 立棕</t>
        </is>
      </c>
      <c r="E22" s="7" t="inlineStr">
        <is>
          <t xml:space="preserve"> 立棕企業有限公司</t>
        </is>
      </c>
      <c r="F22" s="214" t="n">
        <v>148636</v>
      </c>
      <c r="G22" s="214" t="n">
        <v>7432</v>
      </c>
      <c r="H22" s="214" t="n">
        <v>156068</v>
      </c>
      <c r="I22" s="215" t="n"/>
      <c r="J22" s="38" t="n"/>
      <c r="K22" s="45" t="n"/>
      <c r="L22" s="220" t="n"/>
      <c r="M22" s="39" t="n"/>
      <c r="N22" s="221" t="n"/>
      <c r="O22" s="218">
        <f>表格4[[#This Row],[合計]]-表格4[[#This Row],[折讓]]</f>
        <v/>
      </c>
      <c r="P22" s="39" t="n"/>
      <c r="Q22" s="221" t="n"/>
      <c r="R22" s="219" t="n"/>
      <c r="S22" s="39" t="n"/>
    </row>
    <row r="23" ht="24" customHeight="1" s="205" thickBot="1">
      <c r="A23" s="10" t="inlineStr">
        <is>
          <t>BJ18673470</t>
        </is>
      </c>
      <c r="B23" s="213" t="inlineStr">
        <is>
          <t>115/05/18</t>
        </is>
      </c>
      <c r="C23" s="9" t="inlineStr">
        <is>
          <t>84405639</t>
        </is>
      </c>
      <c r="D23" s="6" t="inlineStr">
        <is>
          <t xml:space="preserve"> 寶鎬</t>
        </is>
      </c>
      <c r="E23" s="7" t="inlineStr">
        <is>
          <t xml:space="preserve"> 寶鎬不銹鋼股份有限公司</t>
        </is>
      </c>
      <c r="F23" s="214" t="n">
        <v>69705</v>
      </c>
      <c r="G23" s="214" t="n">
        <v>3485</v>
      </c>
      <c r="H23" s="214" t="n">
        <v>73190</v>
      </c>
      <c r="I23" s="215" t="n"/>
      <c r="J23" s="44" t="inlineStr">
        <is>
          <t>華南永康160002871</t>
        </is>
      </c>
      <c r="K23" s="39" t="inlineStr">
        <is>
          <t>TD7288870</t>
        </is>
      </c>
      <c r="L23" s="216" t="n">
        <v>46280</v>
      </c>
      <c r="M23" s="39" t="inlineStr">
        <is>
          <t>禁背</t>
        </is>
      </c>
      <c r="N23" s="217" t="n">
        <v>46211</v>
      </c>
      <c r="O23" s="218">
        <f>表格4[[#This Row],[合計]]-表格4[[#This Row],[折讓]]</f>
        <v/>
      </c>
      <c r="P23" s="39" t="inlineStr">
        <is>
          <t>永豐</t>
        </is>
      </c>
      <c r="Q23" s="217" t="n">
        <v>46211</v>
      </c>
      <c r="R23" s="219" t="inlineStr">
        <is>
          <t>15000100182967</t>
        </is>
      </c>
      <c r="S23" s="39" t="inlineStr">
        <is>
          <t>託收</t>
        </is>
      </c>
    </row>
    <row r="24" ht="24" customHeight="1" s="205" thickBot="1">
      <c r="A24" s="10" t="inlineStr">
        <is>
          <t>BJ18673471</t>
        </is>
      </c>
      <c r="B24" s="213" t="inlineStr">
        <is>
          <t>115/05/20</t>
        </is>
      </c>
      <c r="C24" s="9" t="inlineStr">
        <is>
          <t>97415975</t>
        </is>
      </c>
      <c r="D24" s="6" t="inlineStr">
        <is>
          <t xml:space="preserve"> 裕煌成</t>
        </is>
      </c>
      <c r="E24" s="7" t="inlineStr">
        <is>
          <t xml:space="preserve"> 裕煌成金屬有限公司</t>
        </is>
      </c>
      <c r="F24" s="214" t="n">
        <v>273260</v>
      </c>
      <c r="G24" s="214" t="n">
        <v>13663</v>
      </c>
      <c r="H24" s="214" t="n">
        <v>286923</v>
      </c>
      <c r="I24" s="215" t="n"/>
      <c r="J24" s="38" t="inlineStr">
        <is>
          <t>永豐新莊12303100186866</t>
        </is>
      </c>
      <c r="K24" s="39" t="inlineStr">
        <is>
          <t>AS3361484</t>
        </is>
      </c>
      <c r="L24" s="216" t="n">
        <v>46280</v>
      </c>
      <c r="M24" s="39" t="inlineStr">
        <is>
          <t>禁背</t>
        </is>
      </c>
      <c r="N24" s="217" t="n">
        <v>46211</v>
      </c>
      <c r="O24" s="218">
        <f>表格4[[#This Row],[合計]]-表格4[[#This Row],[折讓]]</f>
        <v/>
      </c>
      <c r="P24" s="39" t="inlineStr">
        <is>
          <t>永豐</t>
        </is>
      </c>
      <c r="Q24" s="217" t="n">
        <v>46211</v>
      </c>
      <c r="R24" s="219" t="inlineStr">
        <is>
          <t>15000100182967</t>
        </is>
      </c>
      <c r="S24" s="39" t="inlineStr">
        <is>
          <t>託收</t>
        </is>
      </c>
    </row>
    <row r="25" ht="24" customHeight="1" s="205" thickBot="1">
      <c r="A25" s="162" t="inlineStr">
        <is>
          <t>BJ18673472</t>
        </is>
      </c>
      <c r="B25" s="206" t="inlineStr">
        <is>
          <t>115/05/22</t>
        </is>
      </c>
      <c r="C25" s="164" t="inlineStr">
        <is>
          <t>54294755</t>
        </is>
      </c>
      <c r="D25" s="165" t="inlineStr">
        <is>
          <t xml:space="preserve"> 盛德</t>
        </is>
      </c>
      <c r="E25" s="7" t="inlineStr">
        <is>
          <t xml:space="preserve"> 盛德工業股份有限公司</t>
        </is>
      </c>
      <c r="F25" s="207" t="n">
        <v>22134</v>
      </c>
      <c r="G25" s="207" t="n">
        <v>1107</v>
      </c>
      <c r="H25" s="207" t="n">
        <v>23241</v>
      </c>
      <c r="I25" s="208" t="n"/>
      <c r="J25" s="169" t="inlineStr">
        <is>
          <t>華南T/T</t>
        </is>
      </c>
      <c r="K25" s="161" t="n"/>
      <c r="L25" s="209" t="n"/>
      <c r="M25" s="161" t="n"/>
      <c r="N25" s="210" t="n"/>
      <c r="O25" s="211">
        <f>表格4[[#This Row],[合計]]-表格4[[#This Row],[折讓]]</f>
        <v/>
      </c>
      <c r="P25" s="161" t="n"/>
      <c r="Q25" s="210" t="n"/>
      <c r="R25" s="212" t="n"/>
      <c r="S25" s="161" t="n"/>
    </row>
    <row r="26" ht="24" customHeight="1" s="205" thickBot="1">
      <c r="A26" s="162" t="inlineStr">
        <is>
          <t>BJ18673473</t>
        </is>
      </c>
      <c r="B26" s="206" t="inlineStr">
        <is>
          <t>115/05/22</t>
        </is>
      </c>
      <c r="C26" s="164" t="inlineStr">
        <is>
          <t>36070394</t>
        </is>
      </c>
      <c r="D26" s="165" t="inlineStr">
        <is>
          <t xml:space="preserve"> 偉群</t>
        </is>
      </c>
      <c r="E26" s="7" t="inlineStr">
        <is>
          <t xml:space="preserve"> 偉群製刀工業股份有限公司</t>
        </is>
      </c>
      <c r="F26" s="207" t="n">
        <v>81190</v>
      </c>
      <c r="G26" s="207" t="n">
        <v>4060</v>
      </c>
      <c r="H26" s="207" t="n">
        <v>85250</v>
      </c>
      <c r="I26" s="208" t="n"/>
      <c r="J26" s="169" t="inlineStr">
        <is>
          <t>華南T/T</t>
        </is>
      </c>
      <c r="K26" s="180" t="n"/>
      <c r="L26" s="209" t="n"/>
      <c r="M26" s="161" t="n"/>
      <c r="N26" s="210" t="n"/>
      <c r="O26" s="211">
        <f>表格4[[#This Row],[合計]]-表格4[[#This Row],[折讓]]</f>
        <v/>
      </c>
      <c r="P26" s="161" t="n"/>
      <c r="Q26" s="210" t="n"/>
      <c r="R26" s="212" t="n"/>
      <c r="S26" s="161" t="n"/>
    </row>
    <row r="27" ht="24" customHeight="1" s="205" thickBot="1">
      <c r="A27" s="10" t="inlineStr">
        <is>
          <t>BJ18673474</t>
        </is>
      </c>
      <c r="B27" s="213" t="inlineStr">
        <is>
          <t>115/05/22</t>
        </is>
      </c>
      <c r="C27" s="9" t="inlineStr">
        <is>
          <t>86080002</t>
        </is>
      </c>
      <c r="D27" s="6" t="inlineStr">
        <is>
          <t xml:space="preserve"> 會億</t>
        </is>
      </c>
      <c r="E27" s="7" t="inlineStr">
        <is>
          <t xml:space="preserve"> 會億有限公司</t>
        </is>
      </c>
      <c r="F27" s="214" t="n">
        <v>11565</v>
      </c>
      <c r="G27" s="214" t="n">
        <v>578</v>
      </c>
      <c r="H27" s="214" t="n">
        <v>12143</v>
      </c>
      <c r="I27" s="215" t="n"/>
      <c r="J27" s="38" t="inlineStr">
        <is>
          <t>一銀楠梓030033995</t>
        </is>
      </c>
      <c r="K27" s="39" t="inlineStr">
        <is>
          <t>RA8850412</t>
        </is>
      </c>
      <c r="L27" s="216" t="n">
        <v>46234</v>
      </c>
      <c r="M27" s="39" t="inlineStr">
        <is>
          <t>發票人印章:誠友</t>
        </is>
      </c>
      <c r="N27" s="217" t="n">
        <v>46211</v>
      </c>
      <c r="O27" s="218">
        <f>表格4[[#This Row],[合計]]-表格4[[#This Row],[折讓]]</f>
        <v/>
      </c>
      <c r="P27" s="39" t="inlineStr">
        <is>
          <t>永豐</t>
        </is>
      </c>
      <c r="Q27" s="217" t="n">
        <v>46211</v>
      </c>
      <c r="R27" s="219" t="inlineStr">
        <is>
          <t>15000100182967</t>
        </is>
      </c>
      <c r="S27" s="39" t="inlineStr">
        <is>
          <t>託收</t>
        </is>
      </c>
    </row>
    <row r="28" ht="24" customHeight="1" s="205" thickBot="1">
      <c r="A28" s="10" t="inlineStr">
        <is>
          <t>BJ18673475</t>
        </is>
      </c>
      <c r="B28" s="213" t="inlineStr">
        <is>
          <t>115/05/22</t>
        </is>
      </c>
      <c r="C28" s="9" t="inlineStr">
        <is>
          <t>81154638</t>
        </is>
      </c>
      <c r="D28" s="6" t="inlineStr">
        <is>
          <t xml:space="preserve"> 鑫滙</t>
        </is>
      </c>
      <c r="E28" s="7" t="inlineStr">
        <is>
          <t xml:space="preserve"> 鑫滙金屬股份有限公司</t>
        </is>
      </c>
      <c r="F28" s="214" t="n">
        <v>104760</v>
      </c>
      <c r="G28" s="214" t="n">
        <v>5238</v>
      </c>
      <c r="H28" s="214" t="n">
        <v>109998</v>
      </c>
      <c r="I28" s="215" t="n"/>
      <c r="J28" s="38" t="inlineStr">
        <is>
          <t>台企北鳳山01023151</t>
        </is>
      </c>
      <c r="K28" s="39" t="inlineStr">
        <is>
          <t>ZK1961096</t>
        </is>
      </c>
      <c r="L28" s="220" t="n">
        <v>46271</v>
      </c>
      <c r="M28" s="39" t="n"/>
      <c r="N28" s="221" t="n"/>
      <c r="O28" s="218" t="n">
        <v>109998</v>
      </c>
      <c r="P28" s="39" t="inlineStr">
        <is>
          <t>彰銀</t>
        </is>
      </c>
      <c r="Q28" s="221" t="n"/>
      <c r="R28" s="219" t="n">
        <v>57100101404800</v>
      </c>
      <c r="S28" s="39" t="inlineStr">
        <is>
          <t>交換</t>
        </is>
      </c>
    </row>
    <row r="29" ht="24" customHeight="1" s="205" thickBot="1">
      <c r="A29" s="10" t="inlineStr">
        <is>
          <t>BJ18673476</t>
        </is>
      </c>
      <c r="B29" s="213" t="inlineStr">
        <is>
          <t>115/05/22</t>
        </is>
      </c>
      <c r="C29" s="9" t="inlineStr">
        <is>
          <t>70707660</t>
        </is>
      </c>
      <c r="D29" s="6" t="inlineStr">
        <is>
          <t xml:space="preserve"> 大朋</t>
        </is>
      </c>
      <c r="E29" s="7" t="inlineStr">
        <is>
          <t xml:space="preserve"> 大朋國際股份有限公司</t>
        </is>
      </c>
      <c r="F29" s="214" t="n">
        <v>54384</v>
      </c>
      <c r="G29" s="214" t="n">
        <v>2719</v>
      </c>
      <c r="H29" s="214" t="n">
        <v>57103</v>
      </c>
      <c r="I29" s="222" t="n"/>
      <c r="J29" s="38" t="n"/>
      <c r="K29" s="225" t="n"/>
      <c r="L29" s="220" t="n"/>
      <c r="M29" s="47" t="n"/>
      <c r="N29" s="221" t="n"/>
      <c r="O29" s="218">
        <f>表格4[[#This Row],[合計]]-表格4[[#This Row],[折讓]]</f>
        <v/>
      </c>
      <c r="P29" s="39" t="n"/>
      <c r="Q29" s="221" t="n"/>
      <c r="R29" s="219" t="n"/>
      <c r="S29" s="39" t="n"/>
    </row>
    <row r="30" ht="24" customHeight="1" s="205" thickBot="1">
      <c r="A30" s="10" t="inlineStr">
        <is>
          <t>BJ18673477</t>
        </is>
      </c>
      <c r="B30" s="213" t="inlineStr">
        <is>
          <t>115/05/22</t>
        </is>
      </c>
      <c r="C30" s="9" t="inlineStr">
        <is>
          <t>21891324</t>
        </is>
      </c>
      <c r="D30" s="6" t="inlineStr">
        <is>
          <t xml:space="preserve"> 大和豐</t>
        </is>
      </c>
      <c r="E30" s="7" t="inlineStr">
        <is>
          <t xml:space="preserve"> 大和豐工業社</t>
        </is>
      </c>
      <c r="F30" s="214" t="n">
        <v>8600</v>
      </c>
      <c r="G30" s="214" t="n">
        <v>430</v>
      </c>
      <c r="H30" s="214" t="n">
        <v>9030</v>
      </c>
      <c r="I30" s="215" t="n"/>
      <c r="J30" s="38" t="inlineStr">
        <is>
          <t>彰銀鹿港031427550</t>
        </is>
      </c>
      <c r="K30" s="226" t="inlineStr">
        <is>
          <t>RN1037730</t>
        </is>
      </c>
      <c r="L30" s="216" t="n">
        <v>46240</v>
      </c>
      <c r="M30" s="52" t="inlineStr">
        <is>
          <t>禁背 發票人個人印章:大和豐</t>
        </is>
      </c>
      <c r="N30" s="217" t="n">
        <v>46211</v>
      </c>
      <c r="O30" s="218">
        <f>表格4[[#This Row],[合計]]-表格4[[#This Row],[折讓]]</f>
        <v/>
      </c>
      <c r="P30" s="53" t="inlineStr">
        <is>
          <t>永豐</t>
        </is>
      </c>
      <c r="Q30" s="217" t="n">
        <v>46211</v>
      </c>
      <c r="R30" s="219" t="inlineStr">
        <is>
          <t>15000100182967</t>
        </is>
      </c>
      <c r="S30" s="39" t="inlineStr">
        <is>
          <t>託收</t>
        </is>
      </c>
    </row>
    <row r="31" ht="24" customHeight="1" s="205" thickBot="1">
      <c r="A31" s="10" t="inlineStr">
        <is>
          <t>BJ18673478</t>
        </is>
      </c>
      <c r="B31" s="213" t="inlineStr">
        <is>
          <t>115/05/22</t>
        </is>
      </c>
      <c r="C31" s="9" t="inlineStr">
        <is>
          <t>22993947</t>
        </is>
      </c>
      <c r="D31" s="6" t="inlineStr">
        <is>
          <t xml:space="preserve"> 天源</t>
        </is>
      </c>
      <c r="E31" s="7" t="inlineStr">
        <is>
          <t xml:space="preserve"> 天源特殊鋼有限公司</t>
        </is>
      </c>
      <c r="F31" s="214" t="n">
        <v>99600</v>
      </c>
      <c r="G31" s="214" t="n">
        <v>4980</v>
      </c>
      <c r="H31" s="214" t="n">
        <v>104580</v>
      </c>
      <c r="I31" s="215" t="n"/>
      <c r="J31" s="38" t="inlineStr">
        <is>
          <t>一銀頭前030304167</t>
        </is>
      </c>
      <c r="K31" s="39" t="inlineStr">
        <is>
          <t>RA6149736</t>
        </is>
      </c>
      <c r="L31" s="220" t="n">
        <v>46259</v>
      </c>
      <c r="M31" s="39" t="n"/>
      <c r="N31" s="221" t="n">
        <v>46191</v>
      </c>
      <c r="O31" s="218" t="n">
        <v>104580</v>
      </c>
      <c r="P31" s="39" t="inlineStr">
        <is>
          <t>彰銀</t>
        </is>
      </c>
      <c r="Q31" s="221" t="n">
        <v>46195</v>
      </c>
      <c r="R31" s="219" t="n">
        <v>57100101404800</v>
      </c>
      <c r="S31" s="39" t="inlineStr">
        <is>
          <t>交換</t>
        </is>
      </c>
    </row>
    <row r="32" ht="24" customHeight="1" s="205" thickBot="1">
      <c r="A32" s="10" t="inlineStr">
        <is>
          <t>BJ18673479</t>
        </is>
      </c>
      <c r="B32" s="213" t="inlineStr">
        <is>
          <t>115/05/22</t>
        </is>
      </c>
      <c r="C32" s="9" t="inlineStr">
        <is>
          <t>23098722</t>
        </is>
      </c>
      <c r="D32" s="6" t="inlineStr">
        <is>
          <t xml:space="preserve"> 友昕</t>
        </is>
      </c>
      <c r="E32" s="7" t="inlineStr">
        <is>
          <t xml:space="preserve"> 友昕企業有限公司</t>
        </is>
      </c>
      <c r="F32" s="214" t="n">
        <v>11952</v>
      </c>
      <c r="G32" s="214" t="n">
        <v>598</v>
      </c>
      <c r="H32" s="214" t="n">
        <v>12550</v>
      </c>
      <c r="I32" s="215" t="n"/>
      <c r="J32" s="38" t="inlineStr">
        <is>
          <t>台企內壢01022725</t>
        </is>
      </c>
      <c r="K32" s="39" t="inlineStr">
        <is>
          <t>AK1805275</t>
        </is>
      </c>
      <c r="L32" s="220" t="n">
        <v>46233</v>
      </c>
      <c r="M32" s="39" t="n"/>
      <c r="N32" s="221" t="n">
        <v>46203</v>
      </c>
      <c r="O32" s="218">
        <f>表格4[[#This Row],[合計]]-表格4[[#This Row],[折讓]]</f>
        <v/>
      </c>
      <c r="P32" s="39" t="inlineStr">
        <is>
          <t>合迪</t>
        </is>
      </c>
      <c r="Q32" s="221" t="n">
        <v>46203</v>
      </c>
      <c r="R32" s="219" t="n"/>
      <c r="S32" s="39" t="n"/>
    </row>
    <row r="33" ht="24" customHeight="1" s="205" thickBot="1">
      <c r="A33" s="10" t="inlineStr">
        <is>
          <t>BJ18673480</t>
        </is>
      </c>
      <c r="B33" s="213" t="inlineStr">
        <is>
          <t>115/05/22</t>
        </is>
      </c>
      <c r="C33" s="9" t="inlineStr">
        <is>
          <t>35980120</t>
        </is>
      </c>
      <c r="D33" s="6" t="inlineStr">
        <is>
          <t xml:space="preserve"> 立耀</t>
        </is>
      </c>
      <c r="E33" s="7" t="inlineStr">
        <is>
          <t xml:space="preserve"> 立耀工業股份有限公司</t>
        </is>
      </c>
      <c r="F33" s="214" t="n">
        <v>80981</v>
      </c>
      <c r="G33" s="214" t="n">
        <v>4049</v>
      </c>
      <c r="H33" s="214" t="n">
        <v>85030</v>
      </c>
      <c r="I33" s="227" t="n"/>
      <c r="J33" s="44" t="n"/>
      <c r="K33" s="39" t="n"/>
      <c r="L33" s="220" t="n"/>
      <c r="M33" s="39" t="n"/>
      <c r="N33" s="221" t="n"/>
      <c r="O33" s="218">
        <f>表格4[[#This Row],[合計]]-表格4[[#This Row],[折讓]]</f>
        <v/>
      </c>
      <c r="P33" s="39" t="n"/>
      <c r="Q33" s="221" t="n"/>
      <c r="R33" s="219" t="n"/>
      <c r="S33" s="39" t="n"/>
    </row>
    <row r="34" ht="24" customHeight="1" s="205" thickBot="1">
      <c r="A34" s="10" t="inlineStr">
        <is>
          <t>BJ18673481</t>
        </is>
      </c>
      <c r="B34" s="213" t="inlineStr">
        <is>
          <t>115/05/22</t>
        </is>
      </c>
      <c r="C34" s="9" t="inlineStr">
        <is>
          <t>35132196</t>
        </is>
      </c>
      <c r="D34" s="6" t="inlineStr">
        <is>
          <t xml:space="preserve"> 弘隆</t>
        </is>
      </c>
      <c r="E34" s="7" t="inlineStr">
        <is>
          <t xml:space="preserve"> 弘隆工業股份有限公司</t>
        </is>
      </c>
      <c r="F34" s="214" t="n">
        <v>119456</v>
      </c>
      <c r="G34" s="214" t="n">
        <v>5973</v>
      </c>
      <c r="H34" s="214" t="n">
        <v>125429</v>
      </c>
      <c r="I34" s="215" t="n"/>
      <c r="J34" s="38" t="inlineStr">
        <is>
          <t>華南土城160007672</t>
        </is>
      </c>
      <c r="K34" s="228" t="inlineStr">
        <is>
          <t>TD1992113</t>
        </is>
      </c>
      <c r="L34" s="220" t="n">
        <v>46254</v>
      </c>
      <c r="M34" s="39" t="n"/>
      <c r="N34" s="221" t="n">
        <v>46205</v>
      </c>
      <c r="O34" s="218">
        <f>表格4[[#This Row],[合計]]-表格4[[#This Row],[折讓]]</f>
        <v/>
      </c>
      <c r="P34" s="39" t="inlineStr">
        <is>
          <t>永豐</t>
        </is>
      </c>
      <c r="Q34" s="221" t="n">
        <v>46206</v>
      </c>
      <c r="R34" s="219" t="n">
        <v>15001880000393</v>
      </c>
      <c r="S34" s="39" t="inlineStr">
        <is>
          <t>交換</t>
        </is>
      </c>
    </row>
    <row r="35" ht="24" customHeight="1" s="205" thickBot="1">
      <c r="A35" s="10" t="inlineStr">
        <is>
          <t>BJ18673482</t>
        </is>
      </c>
      <c r="B35" s="213" t="inlineStr">
        <is>
          <t>115/05/22</t>
        </is>
      </c>
      <c r="C35" s="9" t="inlineStr">
        <is>
          <t>13138794</t>
        </is>
      </c>
      <c r="D35" s="6" t="inlineStr">
        <is>
          <t xml:space="preserve"> 丞泰</t>
        </is>
      </c>
      <c r="E35" s="7" t="inlineStr">
        <is>
          <t xml:space="preserve"> 丞泰開發有限公司</t>
        </is>
      </c>
      <c r="F35" s="214" t="n">
        <v>102101</v>
      </c>
      <c r="G35" s="214" t="n">
        <v>5105</v>
      </c>
      <c r="H35" s="214" t="n">
        <v>107206</v>
      </c>
      <c r="I35" s="215" t="n"/>
      <c r="J35" s="38" t="inlineStr">
        <is>
          <t>一銀內壢030101132</t>
        </is>
      </c>
      <c r="K35" s="39" t="inlineStr">
        <is>
          <t>RB1916487</t>
        </is>
      </c>
      <c r="L35" s="216" t="n">
        <v>46234</v>
      </c>
      <c r="M35" s="39" t="inlineStr">
        <is>
          <t>禁背 發票人印章:甫承</t>
        </is>
      </c>
      <c r="N35" s="217" t="n">
        <v>46211</v>
      </c>
      <c r="O35" s="218">
        <f>表格4[[#This Row],[合計]]-表格4[[#This Row],[折讓]]</f>
        <v/>
      </c>
      <c r="P35" s="53" t="inlineStr">
        <is>
          <t>永豐</t>
        </is>
      </c>
      <c r="Q35" s="217" t="n">
        <v>46211</v>
      </c>
      <c r="R35" s="219" t="inlineStr">
        <is>
          <t>15000100182967</t>
        </is>
      </c>
      <c r="S35" s="39" t="inlineStr">
        <is>
          <t>託收</t>
        </is>
      </c>
    </row>
    <row r="36" ht="24" customHeight="1" s="205" thickBot="1">
      <c r="A36" s="10" t="inlineStr">
        <is>
          <t>BJ18673483</t>
        </is>
      </c>
      <c r="B36" s="213" t="inlineStr">
        <is>
          <t>115/05/22</t>
        </is>
      </c>
      <c r="C36" s="9" t="inlineStr">
        <is>
          <t>54508601</t>
        </is>
      </c>
      <c r="D36" s="6" t="inlineStr">
        <is>
          <t xml:space="preserve"> 阡阡</t>
        </is>
      </c>
      <c r="E36" s="7" t="inlineStr">
        <is>
          <t xml:space="preserve"> 阡阡實業有限公司</t>
        </is>
      </c>
      <c r="F36" s="214" t="n">
        <v>68586</v>
      </c>
      <c r="G36" s="214" t="n">
        <v>3429</v>
      </c>
      <c r="H36" s="214" t="n">
        <v>72015</v>
      </c>
      <c r="I36" s="215" t="n"/>
      <c r="J36" s="44" t="inlineStr">
        <is>
          <t>台中銀秀水0032698</t>
        </is>
      </c>
      <c r="K36" s="39" t="inlineStr">
        <is>
          <t>SSA8012754</t>
        </is>
      </c>
      <c r="L36" s="220" t="n">
        <v>46203</v>
      </c>
      <c r="M36" s="39" t="n"/>
      <c r="N36" s="221" t="n"/>
      <c r="O36" s="218" t="n">
        <v>72015</v>
      </c>
      <c r="P36" s="39" t="inlineStr">
        <is>
          <t>彰銀</t>
        </is>
      </c>
      <c r="Q36" s="221" t="n"/>
      <c r="R36" s="219" t="n">
        <v>57100101404800</v>
      </c>
      <c r="S36" s="39" t="inlineStr">
        <is>
          <t>交換</t>
        </is>
      </c>
    </row>
    <row r="37" ht="24" customHeight="1" s="205" thickBot="1">
      <c r="A37" s="10" t="inlineStr">
        <is>
          <t>BJ18673484</t>
        </is>
      </c>
      <c r="B37" s="213" t="inlineStr">
        <is>
          <t>115/05/22</t>
        </is>
      </c>
      <c r="C37" s="9" t="inlineStr">
        <is>
          <t>54853125</t>
        </is>
      </c>
      <c r="D37" s="6" t="inlineStr">
        <is>
          <t xml:space="preserve"> 坤大</t>
        </is>
      </c>
      <c r="E37" s="7" t="inlineStr">
        <is>
          <t xml:space="preserve"> 坤大鋼鐵有限公司</t>
        </is>
      </c>
      <c r="F37" s="214" t="n">
        <v>41364</v>
      </c>
      <c r="G37" s="214" t="n">
        <v>2068</v>
      </c>
      <c r="H37" s="214" t="n">
        <v>43432</v>
      </c>
      <c r="I37" s="215" t="n"/>
      <c r="J37" s="56" t="inlineStr">
        <is>
          <t>永豐蘆洲13303100360128</t>
        </is>
      </c>
      <c r="K37" s="39" t="inlineStr">
        <is>
          <t>AS2697389</t>
        </is>
      </c>
      <c r="L37" s="216" t="n">
        <v>46265</v>
      </c>
      <c r="M37" s="47" t="inlineStr">
        <is>
          <t>禁背 發票人印章:坤大</t>
        </is>
      </c>
      <c r="N37" s="217" t="n">
        <v>46211</v>
      </c>
      <c r="O37" s="218">
        <f>表格4[[#This Row],[合計]]-表格4[[#This Row],[折讓]]</f>
        <v/>
      </c>
      <c r="P37" s="39" t="inlineStr">
        <is>
          <t>永豐</t>
        </is>
      </c>
      <c r="Q37" s="217" t="n">
        <v>46211</v>
      </c>
      <c r="R37" s="219" t="inlineStr">
        <is>
          <t>15000100182967</t>
        </is>
      </c>
      <c r="S37" s="39" t="inlineStr">
        <is>
          <t>託收</t>
        </is>
      </c>
    </row>
    <row r="38" ht="24" customHeight="1" s="205" thickBot="1">
      <c r="A38" s="10" t="inlineStr">
        <is>
          <t>BJ18673485</t>
        </is>
      </c>
      <c r="B38" s="213" t="inlineStr">
        <is>
          <t>115/05/22</t>
        </is>
      </c>
      <c r="C38" s="9" t="inlineStr">
        <is>
          <t>23855909</t>
        </is>
      </c>
      <c r="D38" s="6" t="inlineStr">
        <is>
          <t xml:space="preserve"> 昱萊</t>
        </is>
      </c>
      <c r="E38" s="7" t="inlineStr">
        <is>
          <t xml:space="preserve"> 昱萊股份有限公司</t>
        </is>
      </c>
      <c r="F38" s="229" t="n">
        <v>39795</v>
      </c>
      <c r="G38" s="214" t="n">
        <v>1990</v>
      </c>
      <c r="H38" s="214" t="n">
        <v>41785</v>
      </c>
      <c r="I38" s="230" t="n"/>
      <c r="J38" s="38" t="inlineStr">
        <is>
          <t>台企南崁01017728</t>
        </is>
      </c>
      <c r="K38" s="45" t="inlineStr">
        <is>
          <t>AP4521813</t>
        </is>
      </c>
      <c r="L38" s="220" t="n">
        <v>46275</v>
      </c>
      <c r="M38" s="47" t="n"/>
      <c r="N38" s="221" t="n"/>
      <c r="O38" s="218">
        <f>表格4[[#This Row],[合計]]-表格4[[#This Row],[折讓]]</f>
        <v/>
      </c>
      <c r="P38" s="39" t="inlineStr">
        <is>
          <t>永豐</t>
        </is>
      </c>
      <c r="Q38" s="221" t="n">
        <v>46206</v>
      </c>
      <c r="R38" s="219" t="n">
        <v>15001880000393</v>
      </c>
      <c r="S38" s="39" t="inlineStr">
        <is>
          <t>交換</t>
        </is>
      </c>
    </row>
    <row r="39" ht="24" customHeight="1" s="205" thickBot="1">
      <c r="A39" s="10" t="inlineStr">
        <is>
          <t>BJ18673486</t>
        </is>
      </c>
      <c r="B39" s="213" t="inlineStr">
        <is>
          <t>115/05/22</t>
        </is>
      </c>
      <c r="C39" s="9" t="inlineStr">
        <is>
          <t>13021274</t>
        </is>
      </c>
      <c r="D39" s="6" t="inlineStr">
        <is>
          <t xml:space="preserve"> 春成</t>
        </is>
      </c>
      <c r="E39" s="7" t="inlineStr">
        <is>
          <t xml:space="preserve"> 春成鋼模有限公司</t>
        </is>
      </c>
      <c r="F39" s="214" t="n">
        <v>8050</v>
      </c>
      <c r="G39" s="214" t="n">
        <v>403</v>
      </c>
      <c r="H39" s="214" t="n">
        <v>8453</v>
      </c>
      <c r="I39" s="215" t="n"/>
      <c r="J39" s="38" t="n"/>
      <c r="K39" s="39" t="n"/>
      <c r="L39" s="220" t="n"/>
      <c r="M39" s="39" t="n"/>
      <c r="N39" s="221" t="n"/>
      <c r="O39" s="218">
        <f>表格4[[#This Row],[合計]]-表格4[[#This Row],[折讓]]</f>
        <v/>
      </c>
      <c r="P39" s="39" t="n"/>
      <c r="Q39" s="221" t="n"/>
      <c r="R39" s="219" t="n"/>
      <c r="S39" s="39" t="n"/>
    </row>
    <row r="40" ht="24" customHeight="1" s="205" thickBot="1">
      <c r="A40" s="10" t="inlineStr">
        <is>
          <t>BJ18673487</t>
        </is>
      </c>
      <c r="B40" s="213" t="inlineStr">
        <is>
          <t>115/05/22</t>
        </is>
      </c>
      <c r="C40" s="9" t="inlineStr">
        <is>
          <t>28079962</t>
        </is>
      </c>
      <c r="D40" s="6" t="inlineStr">
        <is>
          <t xml:space="preserve"> 晉勝</t>
        </is>
      </c>
      <c r="E40" s="7" t="inlineStr">
        <is>
          <t xml:space="preserve"> 晉勝有限公司</t>
        </is>
      </c>
      <c r="F40" s="214" t="n">
        <v>143220</v>
      </c>
      <c r="G40" s="214" t="n">
        <v>7161</v>
      </c>
      <c r="H40" s="214" t="n">
        <v>150381</v>
      </c>
      <c r="I40" s="222" t="n"/>
      <c r="J40" s="38" t="inlineStr">
        <is>
          <t>台中銀秀水0025861</t>
        </is>
      </c>
      <c r="K40" s="39" t="inlineStr">
        <is>
          <t>SSA0031829</t>
        </is>
      </c>
      <c r="L40" s="216" t="n">
        <v>46223</v>
      </c>
      <c r="M40" s="39" t="inlineStr">
        <is>
          <t>票面150,380 與合計差1</t>
        </is>
      </c>
      <c r="N40" s="217" t="n">
        <v>46211</v>
      </c>
      <c r="O40" s="218">
        <f>表格4[[#This Row],[合計]]-表格4[[#This Row],[折讓]]</f>
        <v/>
      </c>
      <c r="P40" s="39" t="inlineStr">
        <is>
          <t>永豐</t>
        </is>
      </c>
      <c r="Q40" s="217" t="n">
        <v>46211</v>
      </c>
      <c r="R40" s="219" t="inlineStr">
        <is>
          <t>15000100182967</t>
        </is>
      </c>
      <c r="S40" s="39" t="inlineStr">
        <is>
          <t>託收</t>
        </is>
      </c>
    </row>
    <row r="41" ht="24" customHeight="1" s="205" thickBot="1">
      <c r="A41" s="10" t="inlineStr">
        <is>
          <t>BJ18673488</t>
        </is>
      </c>
      <c r="B41" s="213" t="inlineStr">
        <is>
          <t>115/05/22</t>
        </is>
      </c>
      <c r="C41" s="9" t="inlineStr">
        <is>
          <t>89303359</t>
        </is>
      </c>
      <c r="D41" s="6" t="inlineStr">
        <is>
          <t xml:space="preserve"> 陵偉</t>
        </is>
      </c>
      <c r="E41" s="7" t="inlineStr">
        <is>
          <t xml:space="preserve"> 陵偉刀片有限公司</t>
        </is>
      </c>
      <c r="F41" s="214" t="n">
        <v>17200</v>
      </c>
      <c r="G41" s="214" t="n">
        <v>860</v>
      </c>
      <c r="H41" s="214" t="n">
        <v>18060</v>
      </c>
      <c r="I41" s="215" t="n"/>
      <c r="J41" s="38" t="n"/>
      <c r="K41" s="39" t="n"/>
      <c r="L41" s="220" t="n"/>
      <c r="M41" s="39" t="n"/>
      <c r="N41" s="221" t="n"/>
      <c r="O41" s="218">
        <f>表格4[[#This Row],[合計]]-表格4[[#This Row],[折讓]]</f>
        <v/>
      </c>
      <c r="P41" s="39" t="n"/>
      <c r="Q41" s="221" t="n"/>
      <c r="R41" s="219" t="n"/>
      <c r="S41" s="39" t="n"/>
    </row>
    <row r="42" ht="24" customHeight="1" s="205" thickBot="1">
      <c r="A42" s="10" t="inlineStr">
        <is>
          <t>BJ18673489</t>
        </is>
      </c>
      <c r="B42" s="213" t="inlineStr">
        <is>
          <t>115/05/22</t>
        </is>
      </c>
      <c r="C42" s="9" t="inlineStr">
        <is>
          <t>84159159</t>
        </is>
      </c>
      <c r="D42" s="6" t="inlineStr">
        <is>
          <t xml:space="preserve"> 健達</t>
        </is>
      </c>
      <c r="E42" s="7" t="inlineStr">
        <is>
          <t xml:space="preserve"> 健達鋼鐵有限公司</t>
        </is>
      </c>
      <c r="F42" s="214" t="n">
        <v>11100</v>
      </c>
      <c r="G42" s="214" t="n">
        <v>555</v>
      </c>
      <c r="H42" s="214" t="n">
        <v>11655</v>
      </c>
      <c r="I42" s="215" t="n"/>
      <c r="J42" s="44" t="inlineStr">
        <is>
          <t>淡一八里112100760</t>
        </is>
      </c>
      <c r="K42" s="39" t="inlineStr">
        <is>
          <t>DE1456034</t>
        </is>
      </c>
      <c r="L42" s="231" t="n">
        <v>46213</v>
      </c>
      <c r="M42" s="39" t="n"/>
      <c r="N42" s="232" t="n">
        <v>46202</v>
      </c>
      <c r="O42" s="218" t="n">
        <v>11655</v>
      </c>
      <c r="P42" s="39" t="inlineStr">
        <is>
          <t>永豐</t>
        </is>
      </c>
      <c r="Q42" s="232" t="n">
        <v>46203</v>
      </c>
      <c r="R42" s="219" t="inlineStr">
        <is>
          <t>15000100182967</t>
        </is>
      </c>
      <c r="S42" s="39" t="inlineStr">
        <is>
          <t>託收</t>
        </is>
      </c>
    </row>
    <row r="43" ht="24" customHeight="1" s="205" thickBot="1">
      <c r="A43" s="10" t="inlineStr">
        <is>
          <t>BJ18673490</t>
        </is>
      </c>
      <c r="B43" s="213" t="inlineStr">
        <is>
          <t>115/05/22</t>
        </is>
      </c>
      <c r="C43" s="9" t="inlineStr">
        <is>
          <t>86672293</t>
        </is>
      </c>
      <c r="D43" s="6" t="inlineStr">
        <is>
          <t xml:space="preserve"> 新日發</t>
        </is>
      </c>
      <c r="E43" s="7" t="inlineStr">
        <is>
          <t xml:space="preserve"> 新日發精密股份有限公司</t>
        </is>
      </c>
      <c r="F43" s="214" t="n">
        <v>86938</v>
      </c>
      <c r="G43" s="214" t="n">
        <v>4347</v>
      </c>
      <c r="H43" s="214" t="n">
        <v>91285</v>
      </c>
      <c r="I43" s="215" t="n"/>
      <c r="J43" s="38" t="n"/>
      <c r="K43" s="45" t="n"/>
      <c r="L43" s="220" t="n"/>
      <c r="M43" s="39" t="n"/>
      <c r="N43" s="221" t="n"/>
      <c r="O43" s="218">
        <f>表格4[[#This Row],[合計]]-表格4[[#This Row],[折讓]]</f>
        <v/>
      </c>
      <c r="P43" s="39" t="n"/>
      <c r="Q43" s="221" t="n"/>
      <c r="R43" s="219" t="n"/>
      <c r="S43" s="39" t="n"/>
    </row>
    <row r="44" ht="24" customHeight="1" s="205" thickBot="1">
      <c r="A44" s="162" t="inlineStr">
        <is>
          <t>BJ18673491</t>
        </is>
      </c>
      <c r="B44" s="206" t="inlineStr">
        <is>
          <t>115/05/22</t>
        </is>
      </c>
      <c r="C44" s="164" t="inlineStr">
        <is>
          <t>84956794</t>
        </is>
      </c>
      <c r="D44" s="165" t="inlineStr">
        <is>
          <t xml:space="preserve"> 台灣鏵司</t>
        </is>
      </c>
      <c r="E44" s="7" t="inlineStr">
        <is>
          <t xml:space="preserve"> 台灣鏵司企業股份有限公司</t>
        </is>
      </c>
      <c r="F44" s="207" t="n">
        <v>47600</v>
      </c>
      <c r="G44" s="207" t="n">
        <v>2380</v>
      </c>
      <c r="H44" s="207" t="n">
        <v>49980</v>
      </c>
      <c r="I44" s="233" t="n"/>
      <c r="J44" s="177" t="inlineStr">
        <is>
          <t>永豐T/T</t>
        </is>
      </c>
      <c r="K44" s="161" t="n"/>
      <c r="L44" s="209" t="n"/>
      <c r="M44" s="161" t="n"/>
      <c r="N44" s="210" t="n"/>
      <c r="O44" s="211">
        <f>表格4[[#This Row],[合計]]-表格4[[#This Row],[折讓]]</f>
        <v/>
      </c>
      <c r="P44" s="161" t="n"/>
      <c r="Q44" s="210" t="n"/>
      <c r="R44" s="212" t="n"/>
      <c r="S44" s="161" t="n"/>
    </row>
    <row r="45" ht="24" customHeight="1" s="205" thickBot="1">
      <c r="A45" s="10" t="inlineStr">
        <is>
          <t>BJ18673492</t>
        </is>
      </c>
      <c r="B45" s="213" t="inlineStr">
        <is>
          <t>115/05/22</t>
        </is>
      </c>
      <c r="C45" s="9" t="inlineStr">
        <is>
          <t>53168082</t>
        </is>
      </c>
      <c r="D45" s="6" t="inlineStr">
        <is>
          <t xml:space="preserve"> 百鋼</t>
        </is>
      </c>
      <c r="E45" s="7" t="inlineStr">
        <is>
          <t xml:space="preserve"> 百鋼金屬工業股份有限公司</t>
        </is>
      </c>
      <c r="F45" s="214" t="n">
        <v>58479</v>
      </c>
      <c r="G45" s="214" t="n">
        <v>2924</v>
      </c>
      <c r="H45" s="214" t="n">
        <v>61403</v>
      </c>
      <c r="I45" s="215" t="n"/>
      <c r="J45" s="38" t="n"/>
      <c r="K45" s="39" t="n"/>
      <c r="L45" s="220" t="n"/>
      <c r="M45" s="39" t="n"/>
      <c r="N45" s="221" t="n"/>
      <c r="O45" s="218">
        <f>表格4[[#This Row],[合計]]-表格4[[#This Row],[折讓]]</f>
        <v/>
      </c>
      <c r="P45" s="39" t="n"/>
      <c r="Q45" s="221" t="n"/>
      <c r="R45" s="219" t="n"/>
      <c r="S45" s="39" t="n"/>
    </row>
    <row r="46" ht="24" customHeight="1" s="205" thickBot="1">
      <c r="A46" s="10" t="inlineStr">
        <is>
          <t>BJ18673493</t>
        </is>
      </c>
      <c r="B46" s="213" t="inlineStr">
        <is>
          <t>115/05/25</t>
        </is>
      </c>
      <c r="C46" s="9" t="inlineStr">
        <is>
          <t>22781541</t>
        </is>
      </c>
      <c r="D46" s="6" t="inlineStr">
        <is>
          <t xml:space="preserve"> 台民</t>
        </is>
      </c>
      <c r="E46" s="7" t="inlineStr">
        <is>
          <t xml:space="preserve"> 台民工業股份有限公司</t>
        </is>
      </c>
      <c r="F46" s="214" t="n">
        <v>65290</v>
      </c>
      <c r="G46" s="214" t="n">
        <v>3265</v>
      </c>
      <c r="H46" s="214" t="n">
        <v>68555</v>
      </c>
      <c r="I46" s="215" t="n"/>
      <c r="J46" s="38" t="inlineStr">
        <is>
          <t>秀水農會1058020</t>
        </is>
      </c>
      <c r="K46" s="39" t="inlineStr">
        <is>
          <t>FA1823384</t>
        </is>
      </c>
      <c r="L46" s="216" t="n">
        <v>46208</v>
      </c>
      <c r="M46" s="39" t="inlineStr">
        <is>
          <t>票面67,180&lt;合計68,555 差1,375待確認(折讓?)</t>
        </is>
      </c>
      <c r="N46" s="217" t="n">
        <v>46211</v>
      </c>
      <c r="O46" s="218">
        <f>表格4[[#This Row],[合計]]-表格4[[#This Row],[折讓]]</f>
        <v/>
      </c>
      <c r="P46" s="53" t="inlineStr">
        <is>
          <t>永豐</t>
        </is>
      </c>
      <c r="Q46" s="217" t="n">
        <v>46211</v>
      </c>
      <c r="R46" s="219" t="inlineStr">
        <is>
          <t>15000100182967</t>
        </is>
      </c>
      <c r="S46" s="39" t="inlineStr">
        <is>
          <t>託收</t>
        </is>
      </c>
    </row>
    <row r="47" ht="24" customHeight="1" s="205" thickBot="1">
      <c r="A47" s="10" t="inlineStr">
        <is>
          <t>BJ18673494</t>
        </is>
      </c>
      <c r="B47" s="213" t="inlineStr">
        <is>
          <t>115/05/25</t>
        </is>
      </c>
      <c r="C47" s="9" t="inlineStr">
        <is>
          <t>16904411</t>
        </is>
      </c>
      <c r="D47" s="6" t="inlineStr">
        <is>
          <t xml:space="preserve"> 冠德</t>
        </is>
      </c>
      <c r="E47" s="7" t="inlineStr">
        <is>
          <t xml:space="preserve"> 冠德熱處理有限公司</t>
        </is>
      </c>
      <c r="F47" s="229" t="n">
        <v>681945</v>
      </c>
      <c r="G47" s="214" t="n">
        <v>34097</v>
      </c>
      <c r="H47" s="214" t="n">
        <v>716042</v>
      </c>
      <c r="I47" s="230" t="n"/>
      <c r="J47" s="38" t="inlineStr">
        <is>
          <t>台企化成01025558</t>
        </is>
      </c>
      <c r="K47" s="145" t="inlineStr">
        <is>
          <t>ZJ8142064</t>
        </is>
      </c>
      <c r="L47" s="220" t="n">
        <v>46195</v>
      </c>
      <c r="M47" s="47" t="n"/>
      <c r="N47" s="221" t="n"/>
      <c r="O47" s="218" t="n">
        <v>716042</v>
      </c>
      <c r="P47" s="60" t="inlineStr">
        <is>
          <t>彰銀</t>
        </is>
      </c>
      <c r="Q47" s="234" t="n"/>
      <c r="R47" s="235" t="n">
        <v>57100101404800</v>
      </c>
      <c r="S47" s="60" t="inlineStr">
        <is>
          <t>交換</t>
        </is>
      </c>
    </row>
    <row r="48" ht="24" customHeight="1" s="205" thickBot="1">
      <c r="A48" s="10" t="inlineStr">
        <is>
          <t>BJ18673495</t>
        </is>
      </c>
      <c r="B48" s="213" t="inlineStr">
        <is>
          <t>115/05/25</t>
        </is>
      </c>
      <c r="C48" s="9" t="inlineStr">
        <is>
          <t>53392981</t>
        </is>
      </c>
      <c r="D48" s="6" t="inlineStr">
        <is>
          <t xml:space="preserve"> 伸豐</t>
        </is>
      </c>
      <c r="E48" s="7" t="inlineStr">
        <is>
          <t xml:space="preserve"> 伸豐金屬壓延有限公司</t>
        </is>
      </c>
      <c r="F48" s="214" t="n">
        <v>339256</v>
      </c>
      <c r="G48" s="214" t="n">
        <v>16963</v>
      </c>
      <c r="H48" s="214" t="n">
        <v>356219</v>
      </c>
      <c r="I48" s="215" t="n"/>
      <c r="J48" s="38" t="inlineStr">
        <is>
          <t>華泰台南001369</t>
        </is>
      </c>
      <c r="K48" s="39" t="inlineStr">
        <is>
          <t>AC1404967、AC1404968</t>
        </is>
      </c>
      <c r="L48" s="220" t="n">
        <v>46275</v>
      </c>
      <c r="M48" s="39" t="n"/>
      <c r="N48" s="221" t="n"/>
      <c r="O48" s="218" t="n">
        <v>356219</v>
      </c>
      <c r="P48" s="39" t="inlineStr">
        <is>
          <t>彰銀</t>
        </is>
      </c>
      <c r="Q48" s="221" t="n"/>
      <c r="R48" s="219" t="n">
        <v>57100101404800</v>
      </c>
      <c r="S48" s="39" t="inlineStr">
        <is>
          <t>交換</t>
        </is>
      </c>
    </row>
    <row r="49" ht="24" customHeight="1" s="205" thickBot="1">
      <c r="A49" s="10" t="inlineStr">
        <is>
          <t>BJ18673496</t>
        </is>
      </c>
      <c r="B49" s="213" t="inlineStr">
        <is>
          <t>115/05/25</t>
        </is>
      </c>
      <c r="C49" s="9" t="inlineStr">
        <is>
          <t>97183069</t>
        </is>
      </c>
      <c r="D49" s="6" t="inlineStr">
        <is>
          <t xml:space="preserve"> 連全興</t>
        </is>
      </c>
      <c r="E49" s="7" t="inlineStr">
        <is>
          <t xml:space="preserve"> 連全興國際有限公司</t>
        </is>
      </c>
      <c r="F49" s="214" t="n">
        <v>135651</v>
      </c>
      <c r="G49" s="214" t="n">
        <v>6783</v>
      </c>
      <c r="H49" s="214" t="n">
        <v>142434</v>
      </c>
      <c r="I49" s="222" t="n"/>
      <c r="J49" s="38" t="inlineStr">
        <is>
          <t>彰銀北高雄032712330</t>
        </is>
      </c>
      <c r="K49" s="39" t="inlineStr">
        <is>
          <t>FR8210996</t>
        </is>
      </c>
      <c r="L49" s="216" t="n">
        <v>46234</v>
      </c>
      <c r="M49" s="47" t="inlineStr">
        <is>
          <t>禁背 票面116,210&lt;合計142,434 差26,224待確認</t>
        </is>
      </c>
      <c r="N49" s="217" t="n">
        <v>46211</v>
      </c>
      <c r="O49" s="218">
        <f>表格4[[#This Row],[合計]]-表格4[[#This Row],[折讓]]</f>
        <v/>
      </c>
      <c r="P49" s="39" t="inlineStr">
        <is>
          <t>永豐</t>
        </is>
      </c>
      <c r="Q49" s="217" t="n">
        <v>46211</v>
      </c>
      <c r="R49" s="219" t="inlineStr">
        <is>
          <t>15000100182967</t>
        </is>
      </c>
      <c r="S49" s="39" t="inlineStr">
        <is>
          <t>託收</t>
        </is>
      </c>
    </row>
    <row r="50" ht="24" customHeight="1" s="205" thickBot="1">
      <c r="A50" s="10" t="inlineStr">
        <is>
          <t>BJ18673497</t>
        </is>
      </c>
      <c r="B50" s="213" t="inlineStr">
        <is>
          <t>115/05/25</t>
        </is>
      </c>
      <c r="C50" s="9" t="inlineStr">
        <is>
          <t>86241979</t>
        </is>
      </c>
      <c r="D50" s="6" t="inlineStr">
        <is>
          <t xml:space="preserve"> 茂晟</t>
        </is>
      </c>
      <c r="E50" s="7" t="inlineStr">
        <is>
          <t xml:space="preserve"> 茂晟工業有限公司</t>
        </is>
      </c>
      <c r="F50" s="214" t="n">
        <v>58935</v>
      </c>
      <c r="G50" s="214" t="n">
        <v>2947</v>
      </c>
      <c r="H50" s="214" t="n">
        <v>61882</v>
      </c>
      <c r="I50" s="215" t="n"/>
      <c r="J50" s="38" t="n"/>
      <c r="K50" s="39" t="n"/>
      <c r="L50" s="220" t="n"/>
      <c r="M50" s="39" t="n"/>
      <c r="N50" s="221" t="n"/>
      <c r="O50" s="218">
        <f>表格4[[#This Row],[合計]]-表格4[[#This Row],[折讓]]</f>
        <v/>
      </c>
      <c r="P50" s="39" t="n"/>
      <c r="Q50" s="221" t="n"/>
      <c r="R50" s="219" t="n"/>
      <c r="S50" s="39" t="n"/>
    </row>
    <row r="51" ht="24" customHeight="1" s="205" thickBot="1">
      <c r="A51" s="10" t="inlineStr">
        <is>
          <t>BJ18673498</t>
        </is>
      </c>
      <c r="B51" s="213" t="inlineStr">
        <is>
          <t>115/05/25</t>
        </is>
      </c>
      <c r="C51" s="9" t="inlineStr">
        <is>
          <t>34482420</t>
        </is>
      </c>
      <c r="D51" s="6" t="inlineStr">
        <is>
          <t xml:space="preserve"> 昌平</t>
        </is>
      </c>
      <c r="E51" s="7" t="inlineStr">
        <is>
          <t xml:space="preserve"> 昌平實業股份有限公司</t>
        </is>
      </c>
      <c r="F51" s="214" t="n">
        <v>1286760</v>
      </c>
      <c r="G51" s="214" t="n">
        <v>64338</v>
      </c>
      <c r="H51" s="214" t="n">
        <v>1351098</v>
      </c>
      <c r="I51" s="215" t="n"/>
      <c r="J51" s="44" t="inlineStr">
        <is>
          <t>玉山迴龍1012435001853</t>
        </is>
      </c>
      <c r="K51" s="39" t="inlineStr">
        <is>
          <t>AM7929898</t>
        </is>
      </c>
      <c r="L51" s="220" t="n">
        <v>46275</v>
      </c>
      <c r="M51" s="39" t="n"/>
      <c r="N51" s="221" t="n"/>
      <c r="O51" s="218" t="n">
        <v>1351098</v>
      </c>
      <c r="P51" s="53" t="inlineStr">
        <is>
          <t>彰銀</t>
        </is>
      </c>
      <c r="Q51" s="221" t="n"/>
      <c r="R51" s="219" t="n">
        <v>57100101404800</v>
      </c>
      <c r="S51" s="39" t="inlineStr">
        <is>
          <t>交換</t>
        </is>
      </c>
    </row>
    <row r="52" ht="24" customHeight="1" s="205" thickBot="1">
      <c r="A52" s="10" t="inlineStr">
        <is>
          <t>BJ18673499</t>
        </is>
      </c>
      <c r="B52" s="213" t="inlineStr">
        <is>
          <t>115/05/25</t>
        </is>
      </c>
      <c r="C52" s="9" t="inlineStr">
        <is>
          <t>86189235</t>
        </is>
      </c>
      <c r="D52" s="6" t="inlineStr">
        <is>
          <t xml:space="preserve"> 宗威</t>
        </is>
      </c>
      <c r="E52" s="7" t="inlineStr">
        <is>
          <t xml:space="preserve"> 宗威鋼鐵股份有限公司</t>
        </is>
      </c>
      <c r="F52" s="214" t="n">
        <v>52425</v>
      </c>
      <c r="G52" s="214" t="n">
        <v>2621</v>
      </c>
      <c r="H52" s="214" t="n">
        <v>55046</v>
      </c>
      <c r="I52" s="236" t="n"/>
      <c r="J52" s="38" t="n"/>
      <c r="K52" s="39" t="n"/>
      <c r="L52" s="220" t="n"/>
      <c r="M52" s="39" t="n"/>
      <c r="N52" s="221" t="n"/>
      <c r="O52" s="218">
        <f>表格4[[#This Row],[合計]]-表格4[[#This Row],[折讓]]</f>
        <v/>
      </c>
      <c r="P52" s="53" t="n"/>
      <c r="Q52" s="221" t="n"/>
      <c r="R52" s="219" t="n"/>
      <c r="S52" s="39" t="n"/>
    </row>
    <row r="53" ht="24" customHeight="1" s="205" thickBot="1">
      <c r="A53" s="10" t="inlineStr">
        <is>
          <t>BJ18673500</t>
        </is>
      </c>
      <c r="B53" s="213" t="inlineStr">
        <is>
          <t>115/05/25</t>
        </is>
      </c>
      <c r="C53" s="9" t="inlineStr">
        <is>
          <t>22236374</t>
        </is>
      </c>
      <c r="D53" s="6" t="inlineStr">
        <is>
          <t xml:space="preserve"> 松璟</t>
        </is>
      </c>
      <c r="E53" s="7" t="inlineStr">
        <is>
          <t xml:space="preserve"> 松璟精密工業股份有限公司</t>
        </is>
      </c>
      <c r="F53" s="214" t="n">
        <v>54700</v>
      </c>
      <c r="G53" s="214" t="n">
        <v>2735</v>
      </c>
      <c r="H53" s="214" t="n">
        <v>57435</v>
      </c>
      <c r="I53" s="215" t="n"/>
      <c r="J53" s="38" t="n"/>
      <c r="K53" s="39" t="n"/>
      <c r="L53" s="220" t="n"/>
      <c r="M53" s="39" t="n"/>
      <c r="N53" s="221" t="n"/>
      <c r="O53" s="218">
        <f>表格4[[#This Row],[合計]]-表格4[[#This Row],[折讓]]</f>
        <v/>
      </c>
      <c r="P53" s="39" t="n"/>
      <c r="Q53" s="221" t="n"/>
      <c r="R53" s="219" t="n"/>
      <c r="S53" s="39" t="n"/>
    </row>
    <row r="54" ht="24" customHeight="1" s="205" thickBot="1">
      <c r="A54" s="10" t="inlineStr">
        <is>
          <t>BJ18673501</t>
        </is>
      </c>
      <c r="B54" s="213" t="inlineStr">
        <is>
          <t>115/05/25</t>
        </is>
      </c>
      <c r="C54" s="9" t="inlineStr">
        <is>
          <t>22279149</t>
        </is>
      </c>
      <c r="D54" s="6" t="inlineStr">
        <is>
          <t xml:space="preserve"> 高點</t>
        </is>
      </c>
      <c r="E54" s="7" t="inlineStr">
        <is>
          <t xml:space="preserve"> 高點鋼業股份有限公司</t>
        </is>
      </c>
      <c r="F54" s="214" t="n">
        <v>1212788</v>
      </c>
      <c r="G54" s="214" t="n">
        <v>60639</v>
      </c>
      <c r="H54" s="214" t="n">
        <v>1273427</v>
      </c>
      <c r="I54" s="215" t="n"/>
      <c r="J54" s="38" t="inlineStr">
        <is>
          <t>彰銀中壢0363015700</t>
        </is>
      </c>
      <c r="K54" s="39" t="inlineStr">
        <is>
          <t>RN0443004</t>
        </is>
      </c>
      <c r="L54" s="220" t="n">
        <v>46239</v>
      </c>
      <c r="M54" s="39" t="n"/>
      <c r="N54" s="221" t="n"/>
      <c r="O54" s="218">
        <f>表格4[[#This Row],[合計]]-表格4[[#This Row],[折讓]]</f>
        <v/>
      </c>
      <c r="P54" s="39" t="inlineStr">
        <is>
          <t>永豐</t>
        </is>
      </c>
      <c r="Q54" s="221" t="n">
        <v>46206</v>
      </c>
      <c r="R54" s="219" t="n">
        <v>15001880000393</v>
      </c>
      <c r="S54" s="39" t="inlineStr">
        <is>
          <t>交換</t>
        </is>
      </c>
    </row>
    <row r="55" ht="24" customHeight="1" s="205" thickBot="1">
      <c r="A55" s="10" t="inlineStr">
        <is>
          <t>BJ18673502</t>
        </is>
      </c>
      <c r="B55" s="213" t="inlineStr">
        <is>
          <t>115/05/25</t>
        </is>
      </c>
      <c r="C55" s="9" t="inlineStr">
        <is>
          <t>16933371</t>
        </is>
      </c>
      <c r="D55" s="6" t="inlineStr">
        <is>
          <t xml:space="preserve"> 金展(展瑞)</t>
        </is>
      </c>
      <c r="E55" s="7" t="inlineStr">
        <is>
          <t xml:space="preserve"> 金展彈簧工業有限公司</t>
        </is>
      </c>
      <c r="F55" s="214" t="n">
        <v>125775</v>
      </c>
      <c r="G55" s="214" t="n">
        <v>6289</v>
      </c>
      <c r="H55" s="214" t="n">
        <v>132064</v>
      </c>
      <c r="I55" s="215" t="n"/>
      <c r="J55" s="38" t="inlineStr">
        <is>
          <t>中信市政108350968888</t>
        </is>
      </c>
      <c r="K55" s="39" t="inlineStr">
        <is>
          <t>HS0110533</t>
        </is>
      </c>
      <c r="L55" s="216" t="n">
        <v>46271</v>
      </c>
      <c r="M55" s="39" t="inlineStr">
        <is>
          <t>禁背</t>
        </is>
      </c>
      <c r="N55" s="217" t="n">
        <v>46211</v>
      </c>
      <c r="O55" s="218">
        <f>表格4[[#This Row],[合計]]-表格4[[#This Row],[折讓]]</f>
        <v/>
      </c>
      <c r="P55" s="53" t="inlineStr">
        <is>
          <t>永豐</t>
        </is>
      </c>
      <c r="Q55" s="217" t="n">
        <v>46211</v>
      </c>
      <c r="R55" s="219" t="inlineStr">
        <is>
          <t>15000100182967</t>
        </is>
      </c>
      <c r="S55" s="39" t="inlineStr">
        <is>
          <t>託收</t>
        </is>
      </c>
    </row>
    <row r="56" ht="24" customHeight="1" s="205" thickBot="1">
      <c r="A56" s="10" t="inlineStr">
        <is>
          <t>BJ18673503</t>
        </is>
      </c>
      <c r="B56" s="213" t="inlineStr">
        <is>
          <t>115/05/25</t>
        </is>
      </c>
      <c r="C56" s="9" t="inlineStr">
        <is>
          <t>42571924</t>
        </is>
      </c>
      <c r="D56" s="6" t="inlineStr">
        <is>
          <t xml:space="preserve"> 振泰</t>
        </is>
      </c>
      <c r="E56" s="7" t="inlineStr">
        <is>
          <t xml:space="preserve"> 振泰企業有限公司</t>
        </is>
      </c>
      <c r="F56" s="214" t="n">
        <v>24751</v>
      </c>
      <c r="G56" s="214" t="n">
        <v>1238</v>
      </c>
      <c r="H56" s="214" t="n">
        <v>25989</v>
      </c>
      <c r="I56" s="215" t="n"/>
      <c r="J56" s="38" t="n"/>
      <c r="K56" s="39" t="n"/>
      <c r="L56" s="220" t="n"/>
      <c r="M56" s="39" t="n"/>
      <c r="N56" s="221" t="n"/>
      <c r="O56" s="218">
        <f>表格4[[#This Row],[合計]]-表格4[[#This Row],[折讓]]</f>
        <v/>
      </c>
      <c r="P56" s="53" t="n"/>
      <c r="Q56" s="221" t="n"/>
      <c r="R56" s="219" t="n"/>
      <c r="S56" s="39" t="n"/>
    </row>
    <row r="57" ht="24" customHeight="1" s="205" thickBot="1">
      <c r="A57" s="10" t="inlineStr">
        <is>
          <t>BJ18673504</t>
        </is>
      </c>
      <c r="B57" s="213" t="inlineStr">
        <is>
          <t>115/05/25</t>
        </is>
      </c>
      <c r="C57" s="9" t="inlineStr">
        <is>
          <t>36185831</t>
        </is>
      </c>
      <c r="D57" s="6" t="inlineStr">
        <is>
          <t xml:space="preserve"> 啟賀</t>
        </is>
      </c>
      <c r="E57" s="7" t="inlineStr">
        <is>
          <t xml:space="preserve"> 啟賀工業有限公司</t>
        </is>
      </c>
      <c r="F57" s="214" t="n">
        <v>212670</v>
      </c>
      <c r="G57" s="214" t="n">
        <v>10634</v>
      </c>
      <c r="H57" s="214" t="n">
        <v>223304</v>
      </c>
      <c r="I57" s="215" t="n"/>
      <c r="J57" s="38" t="inlineStr">
        <is>
          <t>華南鶯歌160011463</t>
        </is>
      </c>
      <c r="K57" s="39" t="inlineStr">
        <is>
          <t>TD2204526</t>
        </is>
      </c>
      <c r="L57" s="216" t="n">
        <v>46270</v>
      </c>
      <c r="M57" s="39" t="inlineStr">
        <is>
          <t>禁背</t>
        </is>
      </c>
      <c r="N57" s="217" t="n">
        <v>46211</v>
      </c>
      <c r="O57" s="218">
        <f>表格4[[#This Row],[合計]]-表格4[[#This Row],[折讓]]</f>
        <v/>
      </c>
      <c r="P57" s="53" t="inlineStr">
        <is>
          <t>永豐</t>
        </is>
      </c>
      <c r="Q57" s="217" t="n">
        <v>46211</v>
      </c>
      <c r="R57" s="219" t="inlineStr">
        <is>
          <t>15000100182967</t>
        </is>
      </c>
      <c r="S57" s="39" t="inlineStr">
        <is>
          <t>託收</t>
        </is>
      </c>
    </row>
    <row r="58" ht="24" customHeight="1" s="205" thickBot="1">
      <c r="A58" s="10" t="inlineStr">
        <is>
          <t>BJ18673505</t>
        </is>
      </c>
      <c r="B58" s="213" t="inlineStr">
        <is>
          <t>115/05/25</t>
        </is>
      </c>
      <c r="C58" s="9" t="inlineStr">
        <is>
          <t>22696812</t>
        </is>
      </c>
      <c r="D58" s="6" t="inlineStr">
        <is>
          <t xml:space="preserve"> 連義(連盛)</t>
        </is>
      </c>
      <c r="E58" s="7" t="inlineStr">
        <is>
          <t xml:space="preserve"> 連義企業有限公司</t>
        </is>
      </c>
      <c r="F58" s="214" t="n">
        <v>21630</v>
      </c>
      <c r="G58" s="214" t="n">
        <v>1082</v>
      </c>
      <c r="H58" s="214" t="n">
        <v>22712</v>
      </c>
      <c r="I58" s="215" t="n"/>
      <c r="J58" s="38" t="inlineStr">
        <is>
          <t>永豐蘆洲13303100266335</t>
        </is>
      </c>
      <c r="K58" s="39" t="inlineStr">
        <is>
          <t>AS3491081</t>
        </is>
      </c>
      <c r="L58" s="220" t="n">
        <v>46280</v>
      </c>
      <c r="M58" s="39" t="n"/>
      <c r="N58" s="221" t="n"/>
      <c r="O58" s="218">
        <f>表格4[[#This Row],[合計]]-表格4[[#This Row],[折讓]]</f>
        <v/>
      </c>
      <c r="P58" s="39" t="inlineStr">
        <is>
          <t>永豐</t>
        </is>
      </c>
      <c r="Q58" s="221" t="n">
        <v>46206</v>
      </c>
      <c r="R58" s="219" t="n">
        <v>15001880000393</v>
      </c>
      <c r="S58" s="39" t="inlineStr">
        <is>
          <t>交換</t>
        </is>
      </c>
    </row>
    <row r="59" ht="24" customHeight="1" s="205" thickBot="1">
      <c r="A59" s="10" t="inlineStr">
        <is>
          <t>BJ18673506</t>
        </is>
      </c>
      <c r="B59" s="213" t="inlineStr">
        <is>
          <t>115/05/25</t>
        </is>
      </c>
      <c r="C59" s="9" t="inlineStr">
        <is>
          <t>89871129</t>
        </is>
      </c>
      <c r="D59" s="6" t="inlineStr">
        <is>
          <t xml:space="preserve"> 鈞亘</t>
        </is>
      </c>
      <c r="E59" s="7" t="inlineStr">
        <is>
          <t xml:space="preserve"> 鈞亘鋼鐵股份有限公司</t>
        </is>
      </c>
      <c r="F59" s="214" t="n">
        <v>397438</v>
      </c>
      <c r="G59" s="214" t="n">
        <v>19872</v>
      </c>
      <c r="H59" s="214" t="n">
        <v>417310</v>
      </c>
      <c r="I59" s="215" t="n"/>
      <c r="J59" s="38" t="n"/>
      <c r="K59" s="39" t="n"/>
      <c r="L59" s="220" t="n"/>
      <c r="M59" s="39" t="n"/>
      <c r="N59" s="221" t="n"/>
      <c r="O59" s="218">
        <f>表格4[[#This Row],[合計]]-表格4[[#This Row],[折讓]]</f>
        <v/>
      </c>
      <c r="P59" s="39" t="n"/>
      <c r="Q59" s="221" t="n"/>
      <c r="R59" s="219" t="n"/>
      <c r="S59" s="39" t="n"/>
    </row>
    <row r="60" ht="24" customHeight="1" s="205" thickBot="1">
      <c r="A60" s="10" t="inlineStr">
        <is>
          <t>BJ18673507</t>
        </is>
      </c>
      <c r="B60" s="213" t="inlineStr">
        <is>
          <t>115/05/25</t>
        </is>
      </c>
      <c r="C60" s="9" t="inlineStr">
        <is>
          <t>53057591</t>
        </is>
      </c>
      <c r="D60" s="6" t="inlineStr">
        <is>
          <t xml:space="preserve"> 泰閤</t>
        </is>
      </c>
      <c r="E60" s="7" t="inlineStr">
        <is>
          <t xml:space="preserve"> 泰閤鋼鐵有限公司</t>
        </is>
      </c>
      <c r="F60" s="214" t="n">
        <v>46802</v>
      </c>
      <c r="G60" s="214" t="n">
        <v>2340</v>
      </c>
      <c r="H60" s="214" t="n">
        <v>49142</v>
      </c>
      <c r="I60" s="215" t="n"/>
      <c r="J60" s="38" t="inlineStr">
        <is>
          <t>合庫林口003950</t>
        </is>
      </c>
      <c r="K60" s="39" t="inlineStr">
        <is>
          <t>XV0548947</t>
        </is>
      </c>
      <c r="L60" s="220" t="n">
        <v>46280</v>
      </c>
      <c r="M60" s="39" t="n"/>
      <c r="N60" s="221" t="n">
        <v>46191</v>
      </c>
      <c r="O60" s="218" t="n">
        <v>49142</v>
      </c>
      <c r="P60" s="39" t="inlineStr">
        <is>
          <t>彰銀</t>
        </is>
      </c>
      <c r="Q60" s="221" t="n">
        <v>46195</v>
      </c>
      <c r="R60" s="219" t="n">
        <v>57100101404800</v>
      </c>
      <c r="S60" s="39" t="inlineStr">
        <is>
          <t>交換</t>
        </is>
      </c>
    </row>
    <row r="61" ht="24" customHeight="1" s="205" thickBot="1">
      <c r="A61" s="10" t="inlineStr">
        <is>
          <t>BJ18673508</t>
        </is>
      </c>
      <c r="B61" s="213" t="inlineStr">
        <is>
          <t>115/05/25</t>
        </is>
      </c>
      <c r="C61" s="9" t="inlineStr">
        <is>
          <t>89677173</t>
        </is>
      </c>
      <c r="D61" s="6" t="inlineStr">
        <is>
          <t xml:space="preserve"> 智寶</t>
        </is>
      </c>
      <c r="E61" s="7" t="inlineStr">
        <is>
          <t xml:space="preserve"> 智寶實業有限公司</t>
        </is>
      </c>
      <c r="F61" s="214" t="n">
        <v>9075</v>
      </c>
      <c r="G61" s="214" t="n">
        <v>454</v>
      </c>
      <c r="H61" s="214" t="n">
        <v>9529</v>
      </c>
      <c r="I61" s="215" t="n"/>
      <c r="J61" s="38" t="n"/>
      <c r="K61" s="39" t="n"/>
      <c r="L61" s="220" t="n"/>
      <c r="M61" s="39" t="n"/>
      <c r="N61" s="221" t="n"/>
      <c r="O61" s="218">
        <f>表格4[[#This Row],[合計]]-表格4[[#This Row],[折讓]]</f>
        <v/>
      </c>
      <c r="P61" s="39" t="n"/>
      <c r="Q61" s="221" t="n"/>
      <c r="R61" s="219" t="n"/>
      <c r="S61" s="39" t="n"/>
    </row>
    <row r="62" ht="24" customHeight="1" s="205" thickBot="1">
      <c r="A62" s="10" t="inlineStr">
        <is>
          <t>BJ18673509</t>
        </is>
      </c>
      <c r="B62" s="213" t="inlineStr">
        <is>
          <t>115/05/25</t>
        </is>
      </c>
      <c r="C62" s="9" t="inlineStr">
        <is>
          <t>53213328</t>
        </is>
      </c>
      <c r="D62" s="6" t="inlineStr">
        <is>
          <t xml:space="preserve"> 創奕</t>
        </is>
      </c>
      <c r="E62" s="7" t="inlineStr">
        <is>
          <t xml:space="preserve"> 創奕金屬有限公司</t>
        </is>
      </c>
      <c r="F62" s="214" t="n">
        <v>14924</v>
      </c>
      <c r="G62" s="214" t="n">
        <v>746</v>
      </c>
      <c r="H62" s="214" t="n">
        <v>15670</v>
      </c>
      <c r="I62" s="215" t="n"/>
      <c r="J62" s="38" t="inlineStr">
        <is>
          <t>永豐五股15003100181587</t>
        </is>
      </c>
      <c r="K62" s="39" t="inlineStr">
        <is>
          <t>AT4114253</t>
        </is>
      </c>
      <c r="L62" s="216" t="n">
        <v>46265</v>
      </c>
      <c r="M62" s="39" t="n"/>
      <c r="N62" s="217" t="n">
        <v>46211</v>
      </c>
      <c r="O62" s="218">
        <f>表格4[[#This Row],[合計]]-表格4[[#This Row],[折讓]]</f>
        <v/>
      </c>
      <c r="P62" s="39" t="inlineStr">
        <is>
          <t>永豐</t>
        </is>
      </c>
      <c r="Q62" s="217" t="n">
        <v>46211</v>
      </c>
      <c r="R62" s="219" t="inlineStr">
        <is>
          <t>15000100182967</t>
        </is>
      </c>
      <c r="S62" s="39" t="inlineStr">
        <is>
          <t>託收</t>
        </is>
      </c>
    </row>
    <row r="63" ht="24" customHeight="1" s="205" thickBot="1">
      <c r="A63" s="162" t="inlineStr">
        <is>
          <t>BJ18673510</t>
        </is>
      </c>
      <c r="B63" s="206" t="inlineStr">
        <is>
          <t>115/05/25</t>
        </is>
      </c>
      <c r="C63" s="164" t="inlineStr">
        <is>
          <t>89899750</t>
        </is>
      </c>
      <c r="D63" s="165" t="inlineStr">
        <is>
          <t xml:space="preserve"> 貿詮</t>
        </is>
      </c>
      <c r="E63" s="7" t="inlineStr">
        <is>
          <t xml:space="preserve"> 貿詮實業有限公司</t>
        </is>
      </c>
      <c r="F63" s="207" t="n">
        <v>782703</v>
      </c>
      <c r="G63" s="207" t="n">
        <v>39135</v>
      </c>
      <c r="H63" s="207" t="n">
        <v>821838</v>
      </c>
      <c r="I63" s="208" t="n"/>
      <c r="J63" s="177" t="inlineStr">
        <is>
          <t>永豐T/T</t>
        </is>
      </c>
      <c r="K63" s="161" t="n"/>
      <c r="L63" s="209" t="n">
        <v>46208</v>
      </c>
      <c r="M63" s="161" t="n"/>
      <c r="N63" s="210" t="n"/>
      <c r="O63" s="211">
        <f>表格4[[#This Row],[合計]]-表格4[[#This Row],[折讓]]</f>
        <v/>
      </c>
      <c r="P63" s="161" t="n"/>
      <c r="Q63" s="210" t="n"/>
      <c r="R63" s="212" t="n"/>
      <c r="S63" s="161" t="n"/>
    </row>
    <row r="64" ht="24" customHeight="1" s="205" thickBot="1">
      <c r="A64" s="10" t="inlineStr">
        <is>
          <t>BJ18673511</t>
        </is>
      </c>
      <c r="B64" s="213" t="inlineStr">
        <is>
          <t>115/05/25</t>
        </is>
      </c>
      <c r="C64" s="9" t="inlineStr">
        <is>
          <t>53850389</t>
        </is>
      </c>
      <c r="D64" s="6" t="inlineStr">
        <is>
          <t xml:space="preserve"> 傑誠</t>
        </is>
      </c>
      <c r="E64" s="7" t="inlineStr">
        <is>
          <t xml:space="preserve"> 傑誠有限公司</t>
        </is>
      </c>
      <c r="F64" s="214" t="n">
        <v>171742</v>
      </c>
      <c r="G64" s="214" t="n">
        <v>8587</v>
      </c>
      <c r="H64" s="214" t="n">
        <v>180329</v>
      </c>
      <c r="I64" s="215" t="n"/>
      <c r="J64" s="38" t="inlineStr">
        <is>
          <t>彰銀溪湖0360020900</t>
        </is>
      </c>
      <c r="K64" s="39" t="inlineStr">
        <is>
          <t>RN1109270</t>
        </is>
      </c>
      <c r="L64" s="216" t="n">
        <v>46240</v>
      </c>
      <c r="M64" s="39" t="inlineStr">
        <is>
          <t>禁背</t>
        </is>
      </c>
      <c r="N64" s="217" t="n">
        <v>46211</v>
      </c>
      <c r="O64" s="218">
        <f>表格4[[#This Row],[合計]]-表格4[[#This Row],[折讓]]</f>
        <v/>
      </c>
      <c r="P64" s="39" t="inlineStr">
        <is>
          <t>永豐</t>
        </is>
      </c>
      <c r="Q64" s="217" t="n">
        <v>46211</v>
      </c>
      <c r="R64" s="219" t="inlineStr">
        <is>
          <t>15000100182967</t>
        </is>
      </c>
      <c r="S64" s="39" t="inlineStr">
        <is>
          <t>託收</t>
        </is>
      </c>
    </row>
    <row r="65" ht="24" customHeight="1" s="205" thickBot="1">
      <c r="A65" s="146" t="inlineStr">
        <is>
          <t>BJ18673512</t>
        </is>
      </c>
      <c r="B65" s="237" t="inlineStr">
        <is>
          <t>115/05/25</t>
        </is>
      </c>
      <c r="C65" s="148" t="inlineStr">
        <is>
          <t>58506816</t>
        </is>
      </c>
      <c r="D65" s="149" t="inlineStr">
        <is>
          <t xml:space="preserve"> 順德(朝新)</t>
        </is>
      </c>
      <c r="E65" s="150" t="inlineStr">
        <is>
          <t xml:space="preserve"> 順德工業股份有限公司</t>
        </is>
      </c>
      <c r="F65" s="238" t="n">
        <v>36800</v>
      </c>
      <c r="G65" s="207" t="n">
        <v>1840</v>
      </c>
      <c r="H65" s="207" t="n">
        <v>38640</v>
      </c>
      <c r="I65" s="239" t="n"/>
      <c r="J65" s="154" t="inlineStr">
        <is>
          <t>華南T/T</t>
        </is>
      </c>
      <c r="K65" s="155" t="n"/>
      <c r="L65" s="209" t="n">
        <v>46248</v>
      </c>
      <c r="M65" s="155" t="n"/>
      <c r="N65" s="210" t="n"/>
      <c r="O65" s="211">
        <f>表格4[[#This Row],[合計]]-表格4[[#This Row],[折讓]]</f>
        <v/>
      </c>
      <c r="P65" s="159" t="n"/>
      <c r="Q65" s="210" t="n"/>
      <c r="R65" s="212" t="n"/>
      <c r="S65" s="161" t="n"/>
    </row>
    <row r="66" ht="24" customHeight="1" s="205" thickBot="1">
      <c r="A66" s="146" t="inlineStr">
        <is>
          <t>BJ18673513</t>
        </is>
      </c>
      <c r="B66" s="237" t="inlineStr">
        <is>
          <t>115/05/25</t>
        </is>
      </c>
      <c r="C66" s="148" t="inlineStr">
        <is>
          <t>22315356</t>
        </is>
      </c>
      <c r="D66" s="149" t="inlineStr">
        <is>
          <t xml:space="preserve"> 煌順</t>
        </is>
      </c>
      <c r="E66" s="150" t="inlineStr">
        <is>
          <t xml:space="preserve"> 煌順金屬企業有限公司</t>
        </is>
      </c>
      <c r="F66" s="238" t="n">
        <v>319100</v>
      </c>
      <c r="G66" s="207" t="n">
        <v>15955</v>
      </c>
      <c r="H66" s="207" t="n">
        <v>335055</v>
      </c>
      <c r="I66" s="239" t="n"/>
      <c r="J66" s="154" t="inlineStr">
        <is>
          <t>三信銀大智51246</t>
        </is>
      </c>
      <c r="K66" s="155" t="inlineStr">
        <is>
          <t>GA4021502、GA4021503</t>
        </is>
      </c>
      <c r="L66" s="209" t="n">
        <v>46275</v>
      </c>
      <c r="M66" s="155" t="n"/>
      <c r="N66" s="210" t="n"/>
      <c r="O66" s="211" t="n">
        <v>335055</v>
      </c>
      <c r="P66" s="161" t="inlineStr">
        <is>
          <t>彰銀</t>
        </is>
      </c>
      <c r="Q66" s="210" t="n"/>
      <c r="R66" s="212" t="n">
        <v>57100101404800</v>
      </c>
      <c r="S66" s="161" t="inlineStr">
        <is>
          <t>交換</t>
        </is>
      </c>
    </row>
    <row r="67" ht="24" customHeight="1" s="205" thickBot="1">
      <c r="A67" s="162" t="inlineStr">
        <is>
          <t>BJ18673514</t>
        </is>
      </c>
      <c r="B67" s="206" t="inlineStr">
        <is>
          <t>115/05/25</t>
        </is>
      </c>
      <c r="C67" s="164" t="inlineStr">
        <is>
          <t>22585288</t>
        </is>
      </c>
      <c r="D67" s="165" t="inlineStr">
        <is>
          <t xml:space="preserve"> 煒承</t>
        </is>
      </c>
      <c r="E67" s="166" t="inlineStr">
        <is>
          <t xml:space="preserve"> 煒承精密工業股份有限公司</t>
        </is>
      </c>
      <c r="F67" s="240" t="n">
        <v>275837</v>
      </c>
      <c r="G67" s="207" t="n">
        <v>13792</v>
      </c>
      <c r="H67" s="207" t="n">
        <v>289629</v>
      </c>
      <c r="I67" s="233" t="n"/>
      <c r="J67" s="169" t="inlineStr">
        <is>
          <t>台企化成01010372</t>
        </is>
      </c>
      <c r="K67" s="161" t="inlineStr">
        <is>
          <t>AM3313246</t>
        </is>
      </c>
      <c r="L67" s="209" t="n">
        <v>46203</v>
      </c>
      <c r="M67" s="161" t="n"/>
      <c r="N67" s="210" t="n"/>
      <c r="O67" s="211" t="n">
        <v>289629</v>
      </c>
      <c r="P67" s="161" t="inlineStr">
        <is>
          <t>彰銀</t>
        </is>
      </c>
      <c r="Q67" s="210" t="n"/>
      <c r="R67" s="212" t="n">
        <v>57100101404800</v>
      </c>
      <c r="S67" s="161" t="inlineStr">
        <is>
          <t>交換</t>
        </is>
      </c>
    </row>
    <row r="68" ht="24" customHeight="1" s="205" thickBot="1">
      <c r="A68" s="64" t="inlineStr">
        <is>
          <t>BJ18673515</t>
        </is>
      </c>
      <c r="B68" s="241" t="inlineStr">
        <is>
          <t>115/05/27</t>
        </is>
      </c>
      <c r="C68" s="65" t="inlineStr">
        <is>
          <t>24539212</t>
        </is>
      </c>
      <c r="D68" s="66" t="inlineStr">
        <is>
          <t xml:space="preserve"> 名皇</t>
        </is>
      </c>
      <c r="E68" s="67" t="inlineStr">
        <is>
          <t xml:space="preserve"> 名皇金屬工業股份有限公司</t>
        </is>
      </c>
      <c r="F68" s="242" t="n">
        <v>107665</v>
      </c>
      <c r="G68" s="214" t="n">
        <v>5383</v>
      </c>
      <c r="H68" s="214" t="n">
        <v>113048</v>
      </c>
      <c r="I68" s="215" t="n"/>
      <c r="J68" s="38" t="n"/>
      <c r="K68" s="39" t="n"/>
      <c r="L68" s="220" t="n"/>
      <c r="M68" s="39" t="n"/>
      <c r="N68" s="221" t="n"/>
      <c r="O68" s="218">
        <f>表格4[[#This Row],[合計]]-表格4[[#This Row],[折讓]]</f>
        <v/>
      </c>
      <c r="P68" s="39" t="n"/>
      <c r="Q68" s="221" t="n"/>
      <c r="R68" s="219" t="n"/>
      <c r="S68" s="39" t="n"/>
    </row>
    <row r="69" ht="24" customHeight="1" s="205" thickBot="1">
      <c r="A69" s="189" t="inlineStr">
        <is>
          <t>BJ18673516</t>
        </is>
      </c>
      <c r="B69" s="243" t="inlineStr">
        <is>
          <t>115/05/27</t>
        </is>
      </c>
      <c r="C69" s="172" t="inlineStr">
        <is>
          <t>54247439</t>
        </is>
      </c>
      <c r="D69" s="173" t="inlineStr">
        <is>
          <t xml:space="preserve"> 誠偉</t>
        </is>
      </c>
      <c r="E69" s="174" t="inlineStr">
        <is>
          <t xml:space="preserve"> 誠偉鋼鐵科技有限公司</t>
        </is>
      </c>
      <c r="F69" s="244" t="n">
        <v>59860</v>
      </c>
      <c r="G69" s="207" t="n">
        <v>2993</v>
      </c>
      <c r="H69" s="207" t="n">
        <v>62853</v>
      </c>
      <c r="I69" s="233" t="n"/>
      <c r="J69" s="177" t="inlineStr">
        <is>
          <t>華南太平16002232-8</t>
        </is>
      </c>
      <c r="K69" s="161" t="inlineStr">
        <is>
          <t>TD3125777</t>
        </is>
      </c>
      <c r="L69" s="209" t="n">
        <v>46218</v>
      </c>
      <c r="M69" s="161" t="n"/>
      <c r="N69" s="210" t="n">
        <v>46189</v>
      </c>
      <c r="O69" s="211">
        <f>表格4[[#This Row],[合計]]-表格4[[#This Row],[折讓]]</f>
        <v/>
      </c>
      <c r="P69" s="161" t="n"/>
      <c r="Q69" s="210" t="n"/>
      <c r="R69" s="212" t="n"/>
      <c r="S69" s="161" t="n"/>
    </row>
    <row r="70" ht="24" customHeight="1" s="205" thickBot="1">
      <c r="A70" s="69" t="inlineStr">
        <is>
          <t>BJ18673517</t>
        </is>
      </c>
      <c r="B70" s="241" t="inlineStr">
        <is>
          <t>115/05/27</t>
        </is>
      </c>
      <c r="C70" s="65" t="inlineStr">
        <is>
          <t>06012812</t>
        </is>
      </c>
      <c r="D70" s="66" t="inlineStr">
        <is>
          <t xml:space="preserve"> 誠奕</t>
        </is>
      </c>
      <c r="E70" s="67" t="inlineStr">
        <is>
          <t xml:space="preserve"> 誠奕金屬製品廠</t>
        </is>
      </c>
      <c r="F70" s="242" t="n">
        <v>46801</v>
      </c>
      <c r="G70" s="214" t="n">
        <v>2340</v>
      </c>
      <c r="H70" s="214" t="n">
        <v>49141</v>
      </c>
      <c r="I70" s="222" t="n"/>
      <c r="J70" s="38" t="inlineStr">
        <is>
          <t>彰五旭光2107074-20</t>
        </is>
      </c>
      <c r="K70" s="39" t="inlineStr">
        <is>
          <t>AE0733215</t>
        </is>
      </c>
      <c r="L70" s="231" t="n">
        <v>46203</v>
      </c>
      <c r="M70" s="39" t="n"/>
      <c r="N70" s="232" t="n">
        <v>46202</v>
      </c>
      <c r="O70" s="218" t="n">
        <v>49141</v>
      </c>
      <c r="P70" s="39" t="inlineStr">
        <is>
          <t>永豐</t>
        </is>
      </c>
      <c r="Q70" s="232" t="n">
        <v>46203</v>
      </c>
      <c r="R70" s="219" t="inlineStr">
        <is>
          <t>15000100182967</t>
        </is>
      </c>
      <c r="S70" s="39" t="inlineStr">
        <is>
          <t>託收</t>
        </is>
      </c>
    </row>
    <row r="71" ht="24" customHeight="1" s="205" thickBot="1">
      <c r="A71" s="64" t="inlineStr">
        <is>
          <t>BJ18673518</t>
        </is>
      </c>
      <c r="B71" s="241" t="inlineStr">
        <is>
          <t>115/05/27</t>
        </is>
      </c>
      <c r="C71" s="65" t="inlineStr">
        <is>
          <t>84881252</t>
        </is>
      </c>
      <c r="D71" s="66" t="inlineStr">
        <is>
          <t xml:space="preserve"> 燁村</t>
        </is>
      </c>
      <c r="E71" s="67" t="inlineStr">
        <is>
          <t xml:space="preserve"> 燁村鋼鐵股份有限公司</t>
        </is>
      </c>
      <c r="F71" s="242" t="n">
        <v>166560</v>
      </c>
      <c r="G71" s="214" t="n">
        <v>8328</v>
      </c>
      <c r="H71" s="214" t="n">
        <v>174888</v>
      </c>
      <c r="I71" s="227" t="n"/>
      <c r="J71" s="38" t="n"/>
      <c r="K71" s="39" t="n"/>
      <c r="L71" s="220" t="n"/>
      <c r="M71" s="39" t="n"/>
      <c r="N71" s="221" t="n"/>
      <c r="O71" s="218">
        <f>表格4[[#This Row],[合計]]-表格4[[#This Row],[折讓]]</f>
        <v/>
      </c>
      <c r="P71" s="39" t="n"/>
      <c r="Q71" s="221" t="n"/>
      <c r="R71" s="219" t="n"/>
      <c r="S71" s="39" t="n"/>
    </row>
    <row r="72" ht="24" customHeight="1" s="205" thickBot="1">
      <c r="A72" s="64" t="inlineStr">
        <is>
          <t>BJ18673519</t>
        </is>
      </c>
      <c r="B72" s="241" t="inlineStr">
        <is>
          <t>115/05/27</t>
        </is>
      </c>
      <c r="C72" s="65" t="inlineStr">
        <is>
          <t>97401500</t>
        </is>
      </c>
      <c r="D72" s="66" t="inlineStr">
        <is>
          <t xml:space="preserve"> 越華</t>
        </is>
      </c>
      <c r="E72" s="67" t="inlineStr">
        <is>
          <t xml:space="preserve"> 越華全球貿易開發股份有限公司</t>
        </is>
      </c>
      <c r="F72" s="245" t="n">
        <v>29463</v>
      </c>
      <c r="G72" s="214" t="n">
        <v>1473</v>
      </c>
      <c r="H72" s="214" t="n">
        <v>30936</v>
      </c>
      <c r="I72" s="215" t="n"/>
      <c r="J72" s="38" t="inlineStr">
        <is>
          <t>台企板橋01075188</t>
        </is>
      </c>
      <c r="K72" s="39" t="inlineStr">
        <is>
          <t>Z07847188</t>
        </is>
      </c>
      <c r="L72" s="231" t="n">
        <v>46203</v>
      </c>
      <c r="M72" s="39" t="inlineStr">
        <is>
          <t>禁背</t>
        </is>
      </c>
      <c r="N72" s="232" t="n">
        <v>46202</v>
      </c>
      <c r="O72" s="218" t="n">
        <v>30936</v>
      </c>
      <c r="P72" s="39" t="inlineStr">
        <is>
          <t>永豐</t>
        </is>
      </c>
      <c r="Q72" s="232" t="n">
        <v>46203</v>
      </c>
      <c r="R72" s="219" t="inlineStr">
        <is>
          <t>15000100182967</t>
        </is>
      </c>
      <c r="S72" s="39" t="inlineStr">
        <is>
          <t>託收</t>
        </is>
      </c>
    </row>
    <row r="73" ht="24" customHeight="1" s="205" thickBot="1">
      <c r="A73" s="64" t="inlineStr">
        <is>
          <t>BJ18673520</t>
        </is>
      </c>
      <c r="B73" s="241" t="inlineStr">
        <is>
          <t>115/05/27</t>
        </is>
      </c>
      <c r="C73" s="65" t="inlineStr">
        <is>
          <t>28893733</t>
        </is>
      </c>
      <c r="D73" s="66" t="inlineStr">
        <is>
          <t xml:space="preserve"> 廣州</t>
        </is>
      </c>
      <c r="E73" s="67" t="inlineStr">
        <is>
          <t xml:space="preserve"> 廣州企業有限公司</t>
        </is>
      </c>
      <c r="F73" s="242" t="n">
        <v>33168</v>
      </c>
      <c r="G73" s="214" t="n">
        <v>1658</v>
      </c>
      <c r="H73" s="214" t="n">
        <v>34826</v>
      </c>
      <c r="I73" s="215" t="n"/>
      <c r="J73" s="44" t="inlineStr">
        <is>
          <t>八里農會023100265</t>
        </is>
      </c>
      <c r="K73" s="39" t="inlineStr">
        <is>
          <t>FA6061468</t>
        </is>
      </c>
      <c r="L73" s="216" t="n">
        <v>46270</v>
      </c>
      <c r="M73" s="39" t="inlineStr">
        <is>
          <t>禁背 票面2,873&lt;合計34,826 差31,953待確認</t>
        </is>
      </c>
      <c r="N73" s="217" t="n">
        <v>46211</v>
      </c>
      <c r="O73" s="218">
        <f>表格4[[#This Row],[合計]]-表格4[[#This Row],[折讓]]</f>
        <v/>
      </c>
      <c r="P73" s="39" t="inlineStr">
        <is>
          <t>永豐</t>
        </is>
      </c>
      <c r="Q73" s="217" t="n">
        <v>46211</v>
      </c>
      <c r="R73" s="219" t="inlineStr">
        <is>
          <t>15000100182967</t>
        </is>
      </c>
      <c r="S73" s="39" t="inlineStr">
        <is>
          <t>託收</t>
        </is>
      </c>
    </row>
    <row r="74" ht="24" customHeight="1" s="205" thickBot="1">
      <c r="A74" s="64" t="inlineStr">
        <is>
          <t>BJ18673521</t>
        </is>
      </c>
      <c r="B74" s="241" t="inlineStr">
        <is>
          <t>115/05/27</t>
        </is>
      </c>
      <c r="C74" s="65" t="inlineStr">
        <is>
          <t>27370899</t>
        </is>
      </c>
      <c r="D74" s="66" t="inlineStr">
        <is>
          <t xml:space="preserve"> 萬錡</t>
        </is>
      </c>
      <c r="E74" s="67" t="inlineStr">
        <is>
          <t xml:space="preserve"> 萬錡鋼鐵有限公司</t>
        </is>
      </c>
      <c r="F74" s="242" t="n">
        <v>43621</v>
      </c>
      <c r="G74" s="214" t="n">
        <v>2181</v>
      </c>
      <c r="H74" s="214" t="n">
        <v>45802</v>
      </c>
      <c r="I74" s="215" t="n"/>
      <c r="J74" s="71" t="inlineStr">
        <is>
          <t>玉山中路0842435002982</t>
        </is>
      </c>
      <c r="K74" s="39" t="inlineStr">
        <is>
          <t>AM7639637</t>
        </is>
      </c>
      <c r="L74" s="220" t="n">
        <v>46218</v>
      </c>
      <c r="M74" s="39" t="n"/>
      <c r="N74" s="221" t="n">
        <v>46205</v>
      </c>
      <c r="O74" s="218">
        <f>表格4[[#This Row],[合計]]-表格4[[#This Row],[折讓]]</f>
        <v/>
      </c>
      <c r="P74" s="39" t="inlineStr">
        <is>
          <t>永豐</t>
        </is>
      </c>
      <c r="Q74" s="221" t="n">
        <v>46206</v>
      </c>
      <c r="R74" s="219" t="n">
        <v>15001880000393</v>
      </c>
      <c r="S74" s="39" t="inlineStr">
        <is>
          <t>交換</t>
        </is>
      </c>
    </row>
    <row r="75" ht="24" customHeight="1" s="205" thickBot="1">
      <c r="A75" s="170" t="inlineStr">
        <is>
          <t>BJ18673522</t>
        </is>
      </c>
      <c r="B75" s="243" t="inlineStr">
        <is>
          <t>115/05/27</t>
        </is>
      </c>
      <c r="C75" s="172" t="inlineStr">
        <is>
          <t>59013017</t>
        </is>
      </c>
      <c r="D75" s="173" t="inlineStr">
        <is>
          <t xml:space="preserve"> 興隆</t>
        </is>
      </c>
      <c r="E75" s="174" t="inlineStr">
        <is>
          <t xml:space="preserve"> 興隆工業社</t>
        </is>
      </c>
      <c r="F75" s="246" t="n">
        <v>34592</v>
      </c>
      <c r="G75" s="207" t="n">
        <v>1730</v>
      </c>
      <c r="H75" s="207" t="n">
        <v>36322</v>
      </c>
      <c r="I75" s="208" t="n"/>
      <c r="J75" s="177" t="inlineStr">
        <is>
          <t>彰漁本會</t>
        </is>
      </c>
      <c r="K75" s="161" t="inlineStr">
        <is>
          <t>FA1025618</t>
        </is>
      </c>
      <c r="L75" s="209" t="n">
        <v>46264</v>
      </c>
      <c r="M75" s="161" t="n"/>
      <c r="N75" s="210" t="n"/>
      <c r="O75" s="211" t="n">
        <v>36322</v>
      </c>
      <c r="P75" s="161" t="inlineStr">
        <is>
          <t>彰銀</t>
        </is>
      </c>
      <c r="Q75" s="210" t="n"/>
      <c r="R75" s="212" t="n">
        <v>57100101404800</v>
      </c>
      <c r="S75" s="161" t="inlineStr">
        <is>
          <t>交換</t>
        </is>
      </c>
    </row>
    <row r="76" ht="24" customHeight="1" s="205" thickBot="1">
      <c r="A76" s="64" t="inlineStr">
        <is>
          <t>BJ18673523</t>
        </is>
      </c>
      <c r="B76" s="241" t="inlineStr">
        <is>
          <t>115/05/27</t>
        </is>
      </c>
      <c r="C76" s="65" t="inlineStr">
        <is>
          <t>89646209</t>
        </is>
      </c>
      <c r="D76" s="66" t="inlineStr">
        <is>
          <t xml:space="preserve"> 鑫銅</t>
        </is>
      </c>
      <c r="E76" s="67" t="inlineStr">
        <is>
          <t xml:space="preserve"> 鑫銅有限公司</t>
        </is>
      </c>
      <c r="F76" s="245" t="n">
        <v>105980</v>
      </c>
      <c r="G76" s="214" t="n">
        <v>5299</v>
      </c>
      <c r="H76" s="214" t="n">
        <v>111279</v>
      </c>
      <c r="I76" s="222" t="n"/>
      <c r="J76" s="38" t="inlineStr">
        <is>
          <t>中信蘆洲303350005533</t>
        </is>
      </c>
      <c r="K76" s="39" t="inlineStr">
        <is>
          <t>BY0682525</t>
        </is>
      </c>
      <c r="L76" s="216" t="n">
        <v>46218</v>
      </c>
      <c r="M76" s="47" t="inlineStr">
        <is>
          <t>禁背</t>
        </is>
      </c>
      <c r="N76" s="217" t="n">
        <v>46211</v>
      </c>
      <c r="O76" s="218">
        <f>表格4[[#This Row],[合計]]-表格4[[#This Row],[折讓]]</f>
        <v/>
      </c>
      <c r="P76" s="60" t="inlineStr">
        <is>
          <t>永豐</t>
        </is>
      </c>
      <c r="Q76" s="247" t="n">
        <v>46211</v>
      </c>
      <c r="R76" s="235" t="inlineStr">
        <is>
          <t>15000100182967</t>
        </is>
      </c>
      <c r="S76" s="60" t="inlineStr">
        <is>
          <t>託收</t>
        </is>
      </c>
    </row>
    <row r="77" ht="24" customHeight="1" s="205" thickBot="1">
      <c r="A77" s="64" t="inlineStr">
        <is>
          <t>BJ18673524</t>
        </is>
      </c>
      <c r="B77" s="241" t="inlineStr">
        <is>
          <t>115/05/27</t>
        </is>
      </c>
      <c r="C77" s="65" t="inlineStr">
        <is>
          <t>11529802</t>
        </is>
      </c>
      <c r="D77" s="66" t="inlineStr">
        <is>
          <t xml:space="preserve"> 春帶</t>
        </is>
      </c>
      <c r="E77" s="67" t="inlineStr">
        <is>
          <t xml:space="preserve"> 春源鋼鐵工業股份有限公司</t>
        </is>
      </c>
      <c r="F77" s="229" t="n">
        <v>136756</v>
      </c>
      <c r="G77" s="214" t="n">
        <v>6838</v>
      </c>
      <c r="H77" s="214" t="n">
        <v>143594</v>
      </c>
      <c r="I77" s="230" t="n"/>
      <c r="J77" s="38" t="n"/>
      <c r="K77" s="39" t="n"/>
      <c r="L77" s="220" t="n"/>
      <c r="M77" s="47" t="n"/>
      <c r="N77" s="221" t="n"/>
      <c r="O77" s="218">
        <f>表格4[[#This Row],[合計]]-表格4[[#This Row],[折讓]]</f>
        <v/>
      </c>
      <c r="P77" s="53" t="n"/>
      <c r="Q77" s="221" t="n"/>
      <c r="R77" s="219" t="n"/>
      <c r="S77" s="39" t="n"/>
    </row>
    <row r="78" ht="24" customHeight="1" s="205" thickBot="1">
      <c r="A78" s="64" t="inlineStr">
        <is>
          <t>BJ18673525</t>
        </is>
      </c>
      <c r="B78" s="241" t="inlineStr">
        <is>
          <t>115/05/27</t>
        </is>
      </c>
      <c r="C78" s="65" t="inlineStr">
        <is>
          <t>11529802</t>
        </is>
      </c>
      <c r="D78" s="66" t="inlineStr">
        <is>
          <t xml:space="preserve"> 春南</t>
        </is>
      </c>
      <c r="E78" s="67" t="inlineStr">
        <is>
          <t xml:space="preserve"> 春源鋼鐵工業股份有限公司</t>
        </is>
      </c>
      <c r="F78" s="229" t="n">
        <v>17501</v>
      </c>
      <c r="G78" s="214" t="n">
        <v>875</v>
      </c>
      <c r="H78" s="214" t="n">
        <v>18376</v>
      </c>
      <c r="I78" s="230" t="n"/>
      <c r="J78" s="44" t="n"/>
      <c r="K78" s="39" t="n"/>
      <c r="L78" s="220" t="n"/>
      <c r="M78" s="47" t="n"/>
      <c r="N78" s="221" t="n"/>
      <c r="O78" s="218">
        <f>表格4[[#This Row],[合計]]-表格4[[#This Row],[折讓]]</f>
        <v/>
      </c>
      <c r="P78" s="60" t="n"/>
      <c r="Q78" s="234" t="n"/>
      <c r="R78" s="235" t="n"/>
      <c r="S78" s="60" t="n"/>
    </row>
    <row r="79" ht="24" customHeight="1" s="205" thickBot="1">
      <c r="A79" s="64" t="inlineStr">
        <is>
          <t>BJ18673526</t>
        </is>
      </c>
      <c r="B79" s="241" t="inlineStr">
        <is>
          <t>115/05/27</t>
        </is>
      </c>
      <c r="C79" s="65" t="inlineStr">
        <is>
          <t>11529802</t>
        </is>
      </c>
      <c r="D79" s="66" t="inlineStr">
        <is>
          <t xml:space="preserve"> 春土直銷</t>
        </is>
      </c>
      <c r="E79" s="67" t="inlineStr">
        <is>
          <t xml:space="preserve"> 春源鋼鐵工業股份有限公司</t>
        </is>
      </c>
      <c r="F79" s="248" t="n">
        <v>3000</v>
      </c>
      <c r="G79" s="214" t="n">
        <v>150</v>
      </c>
      <c r="H79" s="214" t="n">
        <v>3150</v>
      </c>
      <c r="I79" s="227" t="n"/>
      <c r="J79" s="38" t="n"/>
      <c r="K79" s="39" t="n"/>
      <c r="L79" s="220" t="n"/>
      <c r="M79" s="39" t="n"/>
      <c r="N79" s="221" t="n"/>
      <c r="O79" s="218">
        <f>表格4[[#This Row],[合計]]-表格4[[#This Row],[折讓]]</f>
        <v/>
      </c>
      <c r="P79" s="53" t="n"/>
      <c r="Q79" s="221" t="n"/>
      <c r="R79" s="219" t="n"/>
      <c r="S79" s="39" t="n"/>
    </row>
    <row r="80" ht="24" customHeight="1" s="205" thickBot="1">
      <c r="A80" s="170" t="inlineStr">
        <is>
          <t>BJ18673527</t>
        </is>
      </c>
      <c r="B80" s="206" t="inlineStr">
        <is>
          <t>115/05/27</t>
        </is>
      </c>
      <c r="C80" s="172" t="inlineStr">
        <is>
          <t>16571820</t>
        </is>
      </c>
      <c r="D80" s="173" t="inlineStr">
        <is>
          <t xml:space="preserve"> 銅熊立</t>
        </is>
      </c>
      <c r="E80" s="174" t="inlineStr">
        <is>
          <t xml:space="preserve"> 銅熊立有限公司</t>
        </is>
      </c>
      <c r="F80" s="207" t="n">
        <v>56016</v>
      </c>
      <c r="G80" s="207" t="n">
        <v>2801</v>
      </c>
      <c r="H80" s="207" t="n">
        <v>58817</v>
      </c>
      <c r="I80" s="208" t="n"/>
      <c r="J80" s="177" t="inlineStr">
        <is>
          <t>兆豐中台中20420801822</t>
        </is>
      </c>
      <c r="K80" s="161" t="inlineStr">
        <is>
          <t>CW8010745</t>
        </is>
      </c>
      <c r="L80" s="209" t="n">
        <v>46249</v>
      </c>
      <c r="M80" s="191" t="n"/>
      <c r="N80" s="210" t="n">
        <v>46203</v>
      </c>
      <c r="O80" s="211">
        <f>表格4[[#This Row],[合計]]-表格4[[#This Row],[折讓]]</f>
        <v/>
      </c>
      <c r="P80" s="161" t="inlineStr">
        <is>
          <t>合迪</t>
        </is>
      </c>
      <c r="Q80" s="210" t="n"/>
      <c r="R80" s="212" t="n"/>
      <c r="S80" s="161" t="n"/>
    </row>
    <row r="81" ht="24" customHeight="1" s="205" thickBot="1">
      <c r="A81" s="64" t="inlineStr">
        <is>
          <t>BJ18673528</t>
        </is>
      </c>
      <c r="B81" s="241" t="inlineStr">
        <is>
          <t>115/05/27</t>
        </is>
      </c>
      <c r="C81" s="65" t="inlineStr">
        <is>
          <t>35997142</t>
        </is>
      </c>
      <c r="D81" s="66" t="inlineStr">
        <is>
          <t xml:space="preserve"> 崧筌</t>
        </is>
      </c>
      <c r="E81" s="67" t="inlineStr">
        <is>
          <t xml:space="preserve"> 崧筌扣環工業股份有限公司</t>
        </is>
      </c>
      <c r="F81" s="242" t="n">
        <v>86970</v>
      </c>
      <c r="G81" s="214" t="n">
        <v>4349</v>
      </c>
      <c r="H81" s="214" t="n">
        <v>91319</v>
      </c>
      <c r="I81" s="215" t="n"/>
      <c r="J81" s="44" t="n"/>
      <c r="K81" s="39" t="n"/>
      <c r="L81" s="220" t="n"/>
      <c r="M81" s="47" t="n"/>
      <c r="N81" s="221" t="n"/>
      <c r="O81" s="218">
        <f>表格4[[#This Row],[合計]]-表格4[[#This Row],[折讓]]</f>
        <v/>
      </c>
      <c r="P81" s="39" t="n"/>
      <c r="Q81" s="221" t="n"/>
      <c r="R81" s="219" t="n"/>
      <c r="S81" s="39" t="n"/>
    </row>
    <row r="82" ht="24" customHeight="1" s="205" thickBot="1">
      <c r="A82" s="64" t="inlineStr">
        <is>
          <t>BJ18673529</t>
        </is>
      </c>
      <c r="B82" s="241" t="inlineStr">
        <is>
          <t>115/05/27</t>
        </is>
      </c>
      <c r="C82" s="65" t="inlineStr">
        <is>
          <t>35997142</t>
        </is>
      </c>
      <c r="D82" s="66" t="inlineStr">
        <is>
          <t xml:space="preserve"> 崧筌</t>
        </is>
      </c>
      <c r="E82" s="67" t="inlineStr">
        <is>
          <t xml:space="preserve"> 崧筌扣環工業股份有限公司</t>
        </is>
      </c>
      <c r="F82" s="242" t="n">
        <v>9966</v>
      </c>
      <c r="G82" s="214" t="n">
        <v>498</v>
      </c>
      <c r="H82" s="214" t="n">
        <v>10464</v>
      </c>
      <c r="I82" s="215" t="n"/>
      <c r="J82" s="38" t="n"/>
      <c r="K82" s="39" t="n"/>
      <c r="L82" s="220" t="n"/>
      <c r="M82" s="47" t="n"/>
      <c r="N82" s="221" t="n"/>
      <c r="O82" s="218">
        <f>表格4[[#This Row],[合計]]-表格4[[#This Row],[折讓]]</f>
        <v/>
      </c>
      <c r="P82" s="39" t="n"/>
      <c r="Q82" s="221" t="n"/>
      <c r="R82" s="219" t="n"/>
      <c r="S82" s="39" t="n"/>
    </row>
    <row r="83" ht="24" customHeight="1" s="205" thickBot="1">
      <c r="A83" s="73" t="inlineStr">
        <is>
          <t>BJ18673530</t>
        </is>
      </c>
      <c r="B83" s="241" t="inlineStr">
        <is>
          <t>115/05/27</t>
        </is>
      </c>
      <c r="C83" s="74" t="inlineStr">
        <is>
          <t>16366813</t>
        </is>
      </c>
      <c r="D83" s="66" t="inlineStr">
        <is>
          <t xml:space="preserve"> 碩隆</t>
        </is>
      </c>
      <c r="E83" s="75" t="inlineStr">
        <is>
          <t xml:space="preserve"> 軍翰有限公司</t>
        </is>
      </c>
      <c r="F83" s="248" t="n">
        <v>877533</v>
      </c>
      <c r="G83" s="214" t="n">
        <v>43877</v>
      </c>
      <c r="H83" s="214" t="n">
        <v>921410</v>
      </c>
      <c r="I83" s="227" t="n"/>
      <c r="J83" s="38" t="inlineStr">
        <is>
          <t>玉山三和0255435053169</t>
        </is>
      </c>
      <c r="K83" s="39" t="inlineStr">
        <is>
          <t>AM5738149</t>
        </is>
      </c>
      <c r="L83" s="231" t="n">
        <v>46282</v>
      </c>
      <c r="M83" s="39" t="inlineStr">
        <is>
          <t>禁背</t>
        </is>
      </c>
      <c r="N83" s="232" t="n">
        <v>46202</v>
      </c>
      <c r="O83" s="218" t="n">
        <v>1000000</v>
      </c>
      <c r="P83" s="53" t="inlineStr">
        <is>
          <t>杜華容</t>
        </is>
      </c>
      <c r="Q83" s="232" t="n">
        <v>46203</v>
      </c>
      <c r="R83" s="219" t="n"/>
      <c r="S83" s="39" t="inlineStr">
        <is>
          <t>交換</t>
        </is>
      </c>
    </row>
    <row r="84" ht="24" customHeight="1" s="205" thickBot="1">
      <c r="A84" s="64" t="inlineStr">
        <is>
          <t>BJ18673531</t>
        </is>
      </c>
      <c r="B84" s="241" t="inlineStr">
        <is>
          <t>115/05/27</t>
        </is>
      </c>
      <c r="C84" s="65" t="inlineStr">
        <is>
          <t>16366813</t>
        </is>
      </c>
      <c r="D84" s="66" t="inlineStr">
        <is>
          <t xml:space="preserve"> 碩隆</t>
        </is>
      </c>
      <c r="E84" s="67" t="inlineStr">
        <is>
          <t xml:space="preserve"> 軍翰有限公司</t>
        </is>
      </c>
      <c r="F84" s="242" t="n">
        <v>35588</v>
      </c>
      <c r="G84" s="214" t="n">
        <v>1779</v>
      </c>
      <c r="H84" s="214" t="n">
        <v>37367</v>
      </c>
      <c r="I84" s="215" t="n"/>
      <c r="J84" s="38" t="inlineStr">
        <is>
          <t>玉山三和0255435053169</t>
        </is>
      </c>
      <c r="K84" s="45" t="inlineStr">
        <is>
          <t>AM5738146</t>
        </is>
      </c>
      <c r="L84" s="231" t="n">
        <v>46282</v>
      </c>
      <c r="M84" s="39" t="inlineStr">
        <is>
          <t>禁背</t>
        </is>
      </c>
      <c r="N84" s="232" t="n">
        <v>46202</v>
      </c>
      <c r="O84" s="218" t="n">
        <v>277377</v>
      </c>
      <c r="P84" s="39" t="inlineStr">
        <is>
          <t>華南</t>
        </is>
      </c>
      <c r="Q84" s="232" t="n">
        <v>46203</v>
      </c>
      <c r="R84" s="219" t="n">
        <v>243100021641</v>
      </c>
      <c r="S84" s="39" t="inlineStr">
        <is>
          <t>交換</t>
        </is>
      </c>
    </row>
    <row r="85" ht="24" customHeight="1" s="205" thickBot="1">
      <c r="A85" s="64" t="inlineStr">
        <is>
          <t>BJ18673532</t>
        </is>
      </c>
      <c r="B85" s="241" t="inlineStr">
        <is>
          <t>115/05/27</t>
        </is>
      </c>
      <c r="C85" s="65" t="inlineStr">
        <is>
          <t>16366813</t>
        </is>
      </c>
      <c r="D85" s="66" t="inlineStr">
        <is>
          <t xml:space="preserve"> 軍翰</t>
        </is>
      </c>
      <c r="E85" s="67" t="inlineStr">
        <is>
          <t xml:space="preserve"> 軍翰有限公司</t>
        </is>
      </c>
      <c r="F85" s="242" t="n">
        <v>2170000</v>
      </c>
      <c r="G85" s="214" t="n">
        <v>108500</v>
      </c>
      <c r="H85" s="214" t="n">
        <v>2278500</v>
      </c>
      <c r="I85" s="215" t="n"/>
      <c r="J85" s="38" t="inlineStr">
        <is>
          <t>玉山三和0255435053169</t>
        </is>
      </c>
      <c r="K85" s="45" t="inlineStr">
        <is>
          <t>AM5738147、AM5738148</t>
        </is>
      </c>
      <c r="L85" s="231" t="n">
        <v>46282</v>
      </c>
      <c r="M85" s="45" t="inlineStr">
        <is>
          <t>禁背</t>
        </is>
      </c>
      <c r="N85" s="232" t="n">
        <v>46202</v>
      </c>
      <c r="O85" s="218" t="n">
        <v>2000000</v>
      </c>
      <c r="P85" s="39" t="inlineStr">
        <is>
          <t>合迪</t>
        </is>
      </c>
      <c r="Q85" s="232" t="n">
        <v>46203</v>
      </c>
      <c r="R85" s="219" t="n">
        <v>57100101404800</v>
      </c>
      <c r="S85" s="39" t="inlineStr">
        <is>
          <t>交換</t>
        </is>
      </c>
    </row>
    <row r="86" ht="24" customHeight="1" s="205" thickBot="1">
      <c r="A86" s="64" t="n"/>
      <c r="B86" s="213" t="n"/>
      <c r="C86" s="65" t="n"/>
      <c r="D86" s="66" t="n"/>
      <c r="E86" s="67" t="n"/>
      <c r="F86" s="214" t="n"/>
      <c r="G86" s="214" t="n"/>
      <c r="H86" s="214" t="n"/>
      <c r="I86" s="215" t="n"/>
      <c r="J86" s="38" t="n"/>
      <c r="K86" s="39" t="n"/>
      <c r="L86" s="220" t="n"/>
      <c r="M86" s="39" t="n"/>
      <c r="N86" s="221" t="n"/>
      <c r="O86" s="218">
        <f>表格4[[#This Row],[合計]]-表格4[[#This Row],[折讓]]</f>
        <v/>
      </c>
      <c r="P86" s="39" t="n"/>
      <c r="Q86" s="221" t="n"/>
      <c r="R86" s="219" t="n"/>
      <c r="S86" s="39" t="n"/>
    </row>
    <row r="87" ht="24" customHeight="1" s="205" thickBot="1">
      <c r="A87" s="64" t="n"/>
      <c r="B87" s="241" t="n"/>
      <c r="C87" s="65" t="n"/>
      <c r="D87" s="66" t="n"/>
      <c r="E87" s="249" t="n"/>
      <c r="F87" s="250" t="n"/>
      <c r="G87" s="214" t="n"/>
      <c r="H87" s="214" t="n"/>
      <c r="I87" s="230" t="n"/>
      <c r="J87" s="38" t="n"/>
      <c r="K87" s="251" t="n"/>
      <c r="L87" s="252" t="n"/>
      <c r="M87" s="47" t="n"/>
      <c r="N87" s="234" t="n"/>
      <c r="O87" s="218">
        <f>表格4[[#This Row],[合計]]-表格4[[#This Row],[折讓]]</f>
        <v/>
      </c>
      <c r="P87" s="60" t="n"/>
      <c r="Q87" s="234" t="n"/>
      <c r="R87" s="235" t="n"/>
      <c r="S87" s="60" t="n"/>
    </row>
    <row r="88" ht="24" customHeight="1" s="205" thickBot="1">
      <c r="A88" s="64" t="n"/>
      <c r="B88" s="241" t="n"/>
      <c r="C88" s="65" t="n"/>
      <c r="D88" s="66" t="n"/>
      <c r="E88" s="249" t="n"/>
      <c r="F88" s="250" t="n"/>
      <c r="G88" s="250" t="n"/>
      <c r="H88" s="250" t="n"/>
      <c r="I88" s="230" t="n"/>
      <c r="J88" s="38" t="n"/>
      <c r="K88" s="251" t="n"/>
      <c r="L88" s="252" t="n"/>
      <c r="M88" s="47" t="n"/>
      <c r="N88" s="234" t="n"/>
      <c r="O88" s="218">
        <f>表格4[[#This Row],[合計]]-表格4[[#This Row],[折讓]]</f>
        <v/>
      </c>
      <c r="P88" s="60" t="n"/>
      <c r="Q88" s="234" t="n"/>
      <c r="R88" s="235" t="n"/>
      <c r="S88" s="60" t="n"/>
    </row>
    <row r="89" ht="24" customHeight="1" s="205" thickBot="1">
      <c r="A89" s="64" t="n"/>
      <c r="B89" s="241" t="n"/>
      <c r="C89" s="65" t="n"/>
      <c r="D89" s="66" t="n"/>
      <c r="E89" s="75" t="n"/>
      <c r="F89" s="248" t="n"/>
      <c r="G89" s="248" t="n"/>
      <c r="H89" s="248" t="n"/>
      <c r="I89" s="227" t="n"/>
      <c r="J89" s="79" t="n"/>
      <c r="K89" s="39" t="n"/>
      <c r="L89" s="220" t="n"/>
      <c r="M89" s="39" t="n"/>
      <c r="N89" s="221" t="n"/>
      <c r="O89" s="218">
        <f>表格4[[#This Row],[合計]]-表格4[[#This Row],[折讓]]</f>
        <v/>
      </c>
      <c r="P89" s="39" t="n"/>
      <c r="Q89" s="221" t="n"/>
      <c r="R89" s="219" t="n"/>
      <c r="S89" s="39" t="n"/>
    </row>
    <row r="90" ht="24" customHeight="1" s="205" thickBot="1">
      <c r="A90" s="80" t="n"/>
      <c r="B90" s="253" t="n"/>
      <c r="C90" s="81" t="n"/>
      <c r="D90" s="82" t="n"/>
      <c r="E90" s="83" t="n"/>
      <c r="F90" s="254" t="n"/>
      <c r="G90" s="254" t="n"/>
      <c r="H90" s="254" t="n"/>
      <c r="I90" s="255" t="n"/>
      <c r="J90" s="86" t="n"/>
      <c r="K90" s="63" t="n"/>
      <c r="L90" s="220" t="n"/>
      <c r="M90" s="63" t="n"/>
      <c r="N90" s="256" t="n"/>
      <c r="O90" s="218">
        <f>表格4[[#This Row],[合計]]-表格4[[#This Row],[折讓]]</f>
        <v/>
      </c>
      <c r="P90" s="60" t="n"/>
      <c r="Q90" s="256" t="n"/>
      <c r="R90" s="257" t="n"/>
      <c r="S90" s="63" t="n"/>
    </row>
    <row r="91" ht="24" customHeight="1" s="205" thickBot="1">
      <c r="A91" s="80" t="n"/>
      <c r="B91" s="253" t="n"/>
      <c r="C91" s="81" t="n"/>
      <c r="D91" s="82" t="n"/>
      <c r="E91" s="83" t="n"/>
      <c r="F91" s="254" t="n"/>
      <c r="G91" s="254" t="n"/>
      <c r="H91" s="254" t="n"/>
      <c r="I91" s="255" t="n"/>
      <c r="J91" s="86" t="n"/>
      <c r="K91" s="63" t="n"/>
      <c r="L91" s="220" t="n"/>
      <c r="M91" s="63" t="n"/>
      <c r="N91" s="256" t="n"/>
      <c r="O91" s="218">
        <f>表格4[[#This Row],[合計]]-表格4[[#This Row],[折讓]]</f>
        <v/>
      </c>
      <c r="P91" s="60" t="n"/>
      <c r="Q91" s="256" t="n"/>
      <c r="R91" s="257" t="n"/>
      <c r="S91" s="63" t="n"/>
    </row>
    <row r="92" ht="24" customHeight="1" s="205" thickBot="1">
      <c r="A92" s="80" t="n"/>
      <c r="B92" s="253" t="n"/>
      <c r="C92" s="81" t="n"/>
      <c r="D92" s="82" t="n"/>
      <c r="E92" s="83" t="n"/>
      <c r="F92" s="254" t="n"/>
      <c r="G92" s="254" t="n"/>
      <c r="H92" s="254" t="n"/>
      <c r="I92" s="255" t="n"/>
      <c r="J92" s="86" t="n"/>
      <c r="K92" s="63" t="n"/>
      <c r="L92" s="220" t="n"/>
      <c r="M92" s="63" t="n"/>
      <c r="N92" s="256" t="n"/>
      <c r="O92" s="218">
        <f>表格4[[#This Row],[合計]]-表格4[[#This Row],[折讓]]</f>
        <v/>
      </c>
      <c r="P92" s="63" t="n"/>
      <c r="Q92" s="256" t="n"/>
      <c r="R92" s="257" t="n"/>
      <c r="S92" s="63" t="n"/>
    </row>
    <row r="93" ht="24" customHeight="1" s="205" thickBot="1">
      <c r="A93" s="64" t="n"/>
      <c r="B93" s="241" t="n"/>
      <c r="C93" s="65" t="n"/>
      <c r="D93" s="66" t="n"/>
      <c r="E93" s="67" t="n"/>
      <c r="F93" s="242" t="n"/>
      <c r="G93" s="242" t="n"/>
      <c r="H93" s="242" t="n"/>
      <c r="I93" s="215" t="n"/>
      <c r="J93" s="38" t="n"/>
      <c r="K93" s="39" t="n"/>
      <c r="L93" s="220" t="n"/>
      <c r="M93" s="39" t="n"/>
      <c r="N93" s="221" t="n"/>
      <c r="O93" s="218">
        <f>表格4[[#This Row],[合計]]-表格4[[#This Row],[折讓]]</f>
        <v/>
      </c>
      <c r="P93" s="39" t="n"/>
      <c r="Q93" s="221" t="n"/>
      <c r="R93" s="219" t="n"/>
      <c r="S93" s="39" t="n"/>
    </row>
    <row r="94" ht="24" customHeight="1" s="205" thickBot="1">
      <c r="A94" s="64" t="n"/>
      <c r="B94" s="241" t="n"/>
      <c r="C94" s="65" t="n"/>
      <c r="D94" s="66" t="n"/>
      <c r="E94" s="249" t="n"/>
      <c r="F94" s="250" t="n"/>
      <c r="G94" s="250" t="n"/>
      <c r="H94" s="250" t="n"/>
      <c r="I94" s="230" t="n"/>
      <c r="J94" s="38" t="n"/>
      <c r="K94" s="251" t="n"/>
      <c r="L94" s="252" t="n"/>
      <c r="M94" s="47" t="n"/>
      <c r="N94" s="234" t="n"/>
      <c r="O94" s="218">
        <f>表格4[[#This Row],[合計]]-表格4[[#This Row],[折讓]]</f>
        <v/>
      </c>
      <c r="P94" s="60" t="n"/>
      <c r="Q94" s="234" t="n"/>
      <c r="R94" s="235" t="n"/>
      <c r="S94" s="60" t="n"/>
    </row>
    <row r="95" ht="24" customHeight="1" s="205" thickBot="1">
      <c r="A95" s="64" t="n"/>
      <c r="B95" s="241" t="n"/>
      <c r="C95" s="65" t="n"/>
      <c r="D95" s="66" t="n"/>
      <c r="E95" s="249" t="n"/>
      <c r="F95" s="250" t="n"/>
      <c r="G95" s="250" t="n"/>
      <c r="H95" s="250" t="n"/>
      <c r="I95" s="230" t="n"/>
      <c r="J95" s="38" t="n"/>
      <c r="K95" s="251" t="n"/>
      <c r="L95" s="252" t="n"/>
      <c r="M95" s="47" t="n"/>
      <c r="N95" s="234" t="n"/>
      <c r="O95" s="218">
        <f>表格4[[#This Row],[合計]]-表格4[[#This Row],[折讓]]</f>
        <v/>
      </c>
      <c r="P95" s="60" t="n"/>
      <c r="Q95" s="234" t="n"/>
      <c r="R95" s="235" t="n"/>
      <c r="S95" s="60" t="n"/>
    </row>
    <row r="96" ht="24" customHeight="1" s="205" thickBot="1">
      <c r="A96" s="64" t="n"/>
      <c r="B96" s="241" t="n"/>
      <c r="C96" s="65" t="n"/>
      <c r="D96" s="66" t="n"/>
      <c r="E96" s="249" t="n"/>
      <c r="F96" s="250" t="n"/>
      <c r="G96" s="250" t="n"/>
      <c r="H96" s="250" t="n"/>
      <c r="I96" s="230" t="n"/>
      <c r="J96" s="38" t="n"/>
      <c r="K96" s="251" t="n"/>
      <c r="L96" s="252" t="n"/>
      <c r="M96" s="47" t="n"/>
      <c r="N96" s="234" t="n"/>
      <c r="O96" s="218">
        <f>表格4[[#This Row],[合計]]-表格4[[#This Row],[折讓]]</f>
        <v/>
      </c>
      <c r="P96" s="60" t="n"/>
      <c r="Q96" s="234" t="n"/>
      <c r="R96" s="235" t="n"/>
      <c r="S96" s="60" t="n"/>
    </row>
    <row r="97" ht="24" customHeight="1" s="205" thickBot="1">
      <c r="A97" s="64" t="n"/>
      <c r="B97" s="241" t="n"/>
      <c r="C97" s="65" t="n"/>
      <c r="D97" s="66" t="n"/>
      <c r="E97" s="67" t="n"/>
      <c r="F97" s="242" t="n"/>
      <c r="G97" s="242" t="n"/>
      <c r="H97" s="242" t="n"/>
      <c r="I97" s="222" t="n"/>
      <c r="J97" s="38" t="n"/>
      <c r="K97" s="39" t="n"/>
      <c r="L97" s="220" t="n"/>
      <c r="M97" s="47" t="n"/>
      <c r="N97" s="221" t="n"/>
      <c r="O97" s="218">
        <f>表格4[[#This Row],[合計]]-表格4[[#This Row],[折讓]]</f>
        <v/>
      </c>
      <c r="P97" s="39" t="n"/>
      <c r="Q97" s="221" t="n"/>
      <c r="R97" s="219" t="n"/>
      <c r="S97" s="39" t="n"/>
    </row>
    <row r="98" ht="24" customHeight="1" s="205" thickBot="1">
      <c r="A98" s="64" t="n"/>
      <c r="B98" s="241" t="n"/>
      <c r="C98" s="65" t="n"/>
      <c r="D98" s="66" t="n"/>
      <c r="E98" s="67" t="n"/>
      <c r="F98" s="242" t="n"/>
      <c r="G98" s="242" t="n"/>
      <c r="H98" s="242" t="n"/>
      <c r="I98" s="215" t="n"/>
      <c r="J98" s="38" t="n"/>
      <c r="K98" s="39" t="n"/>
      <c r="L98" s="220" t="n"/>
      <c r="M98" s="39" t="n"/>
      <c r="N98" s="221" t="n"/>
      <c r="O98" s="218">
        <f>表格4[[#This Row],[合計]]-表格4[[#This Row],[折讓]]</f>
        <v/>
      </c>
      <c r="P98" s="39" t="n"/>
      <c r="Q98" s="221" t="n"/>
      <c r="R98" s="219" t="n"/>
      <c r="S98" s="39" t="n"/>
    </row>
    <row r="99" ht="24" customHeight="1" s="205" thickBot="1">
      <c r="A99" s="64" t="n"/>
      <c r="B99" s="241" t="n"/>
      <c r="C99" s="65" t="n"/>
      <c r="D99" s="66" t="n"/>
      <c r="E99" s="67" t="n"/>
      <c r="F99" s="242" t="n"/>
      <c r="G99" s="242" t="n"/>
      <c r="H99" s="242" t="n"/>
      <c r="I99" s="215" t="n"/>
      <c r="J99" s="38" t="n"/>
      <c r="K99" s="39" t="n"/>
      <c r="L99" s="220" t="n"/>
      <c r="M99" s="39" t="n"/>
      <c r="N99" s="221" t="n"/>
      <c r="O99" s="218">
        <f>表格4[[#This Row],[合計]]-表格4[[#This Row],[折讓]]</f>
        <v/>
      </c>
      <c r="P99" s="39" t="n"/>
      <c r="Q99" s="221" t="n"/>
      <c r="R99" s="219" t="n"/>
      <c r="S99" s="39" t="n"/>
    </row>
    <row r="100" ht="24" customHeight="1" s="205" thickBot="1">
      <c r="A100" s="73" t="n"/>
      <c r="B100" s="241" t="n"/>
      <c r="C100" s="74" t="n"/>
      <c r="D100" s="66" t="n"/>
      <c r="E100" s="67" t="n"/>
      <c r="F100" s="229" t="n"/>
      <c r="G100" s="229" t="n"/>
      <c r="H100" s="229" t="n"/>
      <c r="I100" s="230" t="n"/>
      <c r="J100" s="38" t="n"/>
      <c r="K100" s="45" t="n"/>
      <c r="L100" s="220" t="n"/>
      <c r="M100" s="47" t="n"/>
      <c r="N100" s="234" t="n"/>
      <c r="O100" s="218">
        <f>表格4[[#This Row],[合計]]-表格4[[#This Row],[折讓]]</f>
        <v/>
      </c>
      <c r="P100" s="60" t="n"/>
      <c r="Q100" s="234" t="n"/>
      <c r="R100" s="235" t="n"/>
      <c r="S100" s="60" t="n"/>
    </row>
    <row r="101" ht="24" customHeight="1" s="205" thickBot="1">
      <c r="A101" s="64" t="n"/>
      <c r="B101" s="241" t="n"/>
      <c r="C101" s="65" t="n"/>
      <c r="D101" s="66" t="n"/>
      <c r="E101" s="67" t="n"/>
      <c r="F101" s="229" t="n"/>
      <c r="G101" s="229" t="n"/>
      <c r="H101" s="229" t="n"/>
      <c r="I101" s="230" t="n"/>
      <c r="J101" s="38" t="n"/>
      <c r="K101" s="39" t="n"/>
      <c r="L101" s="220" t="n"/>
      <c r="M101" s="47" t="n"/>
      <c r="N101" s="234" t="n"/>
      <c r="O101" s="218">
        <f>表格4[[#This Row],[合計]]-表格4[[#This Row],[折讓]]</f>
        <v/>
      </c>
      <c r="P101" s="60" t="n"/>
      <c r="Q101" s="234" t="n"/>
      <c r="R101" s="235" t="n"/>
      <c r="S101" s="60" t="n"/>
    </row>
    <row r="102" ht="24" customHeight="1" s="205" thickBot="1">
      <c r="A102" s="64" t="n"/>
      <c r="B102" s="241" t="n"/>
      <c r="C102" s="65" t="n"/>
      <c r="D102" s="66" t="n"/>
      <c r="E102" s="67" t="n"/>
      <c r="F102" s="229" t="n"/>
      <c r="G102" s="229" t="n"/>
      <c r="H102" s="229" t="n"/>
      <c r="I102" s="230" t="n"/>
      <c r="J102" s="38" t="n"/>
      <c r="K102" s="39" t="n"/>
      <c r="L102" s="220" t="n"/>
      <c r="M102" s="47" t="n"/>
      <c r="N102" s="234" t="n"/>
      <c r="O102" s="218">
        <f>表格4[[#This Row],[合計]]-表格4[[#This Row],[折讓]]</f>
        <v/>
      </c>
      <c r="P102" s="60" t="n"/>
      <c r="Q102" s="234" t="n"/>
      <c r="R102" s="235" t="n"/>
      <c r="S102" s="60" t="n"/>
    </row>
    <row r="103" ht="24" customHeight="1" s="205" thickBot="1">
      <c r="A103" s="88" t="n"/>
      <c r="B103" s="258" t="n"/>
      <c r="C103" s="89" t="n"/>
      <c r="D103" s="259" t="n"/>
      <c r="E103" s="259" t="n"/>
      <c r="F103" s="250" t="n"/>
      <c r="G103" s="250" t="n"/>
      <c r="H103" s="250" t="n"/>
      <c r="I103" s="236" t="n"/>
      <c r="J103" s="91" t="n"/>
      <c r="K103" s="260" t="n"/>
      <c r="L103" s="220" t="n"/>
      <c r="M103" s="52" t="n"/>
      <c r="N103" s="261" t="n"/>
      <c r="O103" s="218">
        <f>表格4[[#This Row],[合計]]-表格4[[#This Row],[折讓]]</f>
        <v/>
      </c>
      <c r="P103" s="93" t="n"/>
      <c r="Q103" s="261" t="n"/>
      <c r="R103" s="262" t="n"/>
      <c r="S103" s="93" t="n"/>
    </row>
    <row r="104" ht="24" customHeight="1" s="205" thickBot="1">
      <c r="A104" s="95" t="n"/>
      <c r="B104" s="258" t="n"/>
      <c r="C104" s="96" t="n"/>
      <c r="D104" s="263" t="n"/>
      <c r="E104" s="263" t="n"/>
      <c r="F104" s="250" t="n"/>
      <c r="G104" s="250" t="n"/>
      <c r="H104" s="250" t="n"/>
      <c r="I104" s="264" t="n"/>
      <c r="J104" s="91" t="n"/>
      <c r="K104" s="260" t="n"/>
      <c r="L104" s="220" t="n"/>
      <c r="M104" s="52" t="n"/>
      <c r="N104" s="261" t="n"/>
      <c r="O104" s="218">
        <f>表格4[[#This Row],[合計]]-表格4[[#This Row],[折讓]]</f>
        <v/>
      </c>
      <c r="P104" s="93" t="n"/>
      <c r="Q104" s="261" t="n"/>
      <c r="R104" s="262" t="n"/>
      <c r="S104" s="93" t="n"/>
    </row>
    <row r="105" ht="24" customHeight="1" s="205" thickBot="1">
      <c r="A105" s="95" t="n"/>
      <c r="B105" s="258" t="n"/>
      <c r="C105" s="96" t="n"/>
      <c r="D105" s="263" t="n"/>
      <c r="E105" s="263" t="n"/>
      <c r="F105" s="250" t="n"/>
      <c r="G105" s="250" t="n"/>
      <c r="H105" s="250" t="n"/>
      <c r="I105" s="264" t="n"/>
      <c r="J105" s="91" t="n"/>
      <c r="K105" s="260" t="n"/>
      <c r="L105" s="220" t="n"/>
      <c r="M105" s="52" t="n"/>
      <c r="N105" s="261" t="n"/>
      <c r="O105" s="218">
        <f>表格4[[#This Row],[合計]]-表格4[[#This Row],[折讓]]</f>
        <v/>
      </c>
      <c r="P105" s="93" t="n"/>
      <c r="Q105" s="261" t="n"/>
      <c r="R105" s="262" t="n"/>
      <c r="S105" s="93" t="n"/>
    </row>
    <row r="106" ht="24" customHeight="1" s="205" thickBot="1">
      <c r="A106" s="95" t="n"/>
      <c r="B106" s="258" t="n"/>
      <c r="C106" s="96" t="n"/>
      <c r="D106" s="263" t="n"/>
      <c r="E106" s="263" t="n"/>
      <c r="F106" s="250" t="n"/>
      <c r="G106" s="250" t="n"/>
      <c r="H106" s="250" t="n"/>
      <c r="I106" s="264" t="n"/>
      <c r="J106" s="38" t="n"/>
      <c r="K106" s="45" t="n"/>
      <c r="L106" s="220" t="n"/>
      <c r="M106" s="52" t="n"/>
      <c r="N106" s="261" t="n"/>
      <c r="O106" s="218">
        <f>表格4[[#This Row],[合計]]-表格4[[#This Row],[折讓]]</f>
        <v/>
      </c>
      <c r="P106" s="93" t="n"/>
      <c r="Q106" s="261" t="n"/>
      <c r="R106" s="262" t="n"/>
      <c r="S106" s="93" t="n"/>
    </row>
    <row r="107" ht="25.35" customHeight="1" s="205" thickBot="1">
      <c r="A107" s="64" t="inlineStr">
        <is>
          <t>ZE99054469</t>
        </is>
      </c>
      <c r="B107" s="241" t="inlineStr">
        <is>
          <t>115/04/28</t>
        </is>
      </c>
      <c r="C107" s="65" t="inlineStr">
        <is>
          <t>16366813</t>
        </is>
      </c>
      <c r="D107" s="66" t="inlineStr">
        <is>
          <t xml:space="preserve"> 軍翰</t>
        </is>
      </c>
      <c r="E107" s="242" t="n">
        <v>1016856</v>
      </c>
      <c r="F107" s="242" t="n">
        <v>0</v>
      </c>
      <c r="G107" s="214">
        <f>表格4[[#This Row],[未稅金額]]*0.05</f>
        <v/>
      </c>
      <c r="H107" s="214">
        <f>表格4[[#This Row],[未稅金額]]-表格4[[#This Row],[稅額]]</f>
        <v/>
      </c>
      <c r="I107" s="215" t="n"/>
      <c r="J107" s="38" t="inlineStr">
        <is>
          <t>0255435053169</t>
        </is>
      </c>
      <c r="K107" s="45" t="inlineStr">
        <is>
          <t>AM5738142</t>
        </is>
      </c>
      <c r="L107" s="220" t="n">
        <v>46251</v>
      </c>
      <c r="M107" s="45" t="n"/>
      <c r="N107" s="221" t="n">
        <v>46167</v>
      </c>
      <c r="O107" s="265" t="n">
        <v>1000000</v>
      </c>
      <c r="P107" s="39" t="inlineStr">
        <is>
          <t>台中銀</t>
        </is>
      </c>
      <c r="Q107" s="221" t="n">
        <v>46168</v>
      </c>
      <c r="R107" s="219" t="n">
        <v>129260000472</v>
      </c>
      <c r="S107" s="39" t="inlineStr">
        <is>
          <t>交換</t>
        </is>
      </c>
    </row>
    <row r="108" ht="16.7" customHeight="1" s="205" thickBot="1">
      <c r="A108" s="64" t="inlineStr">
        <is>
          <t>ZE99054469</t>
        </is>
      </c>
      <c r="B108" s="241" t="inlineStr">
        <is>
          <t>115/04/28</t>
        </is>
      </c>
      <c r="C108" s="65" t="inlineStr">
        <is>
          <t>16366813</t>
        </is>
      </c>
      <c r="D108" s="66" t="inlineStr">
        <is>
          <t xml:space="preserve"> 軍翰</t>
        </is>
      </c>
      <c r="E108" s="242" t="n">
        <v>2555000</v>
      </c>
      <c r="F108" s="242" t="n">
        <v>0</v>
      </c>
      <c r="G108" s="214">
        <f>表格4[[#This Row],[未稅金額]]*0.05</f>
        <v/>
      </c>
      <c r="H108" s="214">
        <f>表格4[[#This Row],[未稅金額]]-表格4[[#This Row],[稅額]]</f>
        <v/>
      </c>
      <c r="I108" s="215" t="n"/>
      <c r="J108" s="38" t="inlineStr">
        <is>
          <t>0255435053169</t>
        </is>
      </c>
      <c r="K108" s="45" t="inlineStr">
        <is>
          <t>AM5738142</t>
        </is>
      </c>
      <c r="L108" s="220" t="n">
        <v>46251</v>
      </c>
      <c r="M108" s="45" t="n"/>
      <c r="N108" s="221" t="n">
        <v>46167</v>
      </c>
      <c r="O108" s="265" t="n">
        <v>1000000</v>
      </c>
      <c r="P108" s="39" t="inlineStr">
        <is>
          <t>台中銀</t>
        </is>
      </c>
      <c r="Q108" s="221" t="n">
        <v>46168</v>
      </c>
      <c r="R108" s="219" t="n">
        <v>129260000472</v>
      </c>
      <c r="S108" s="39" t="inlineStr">
        <is>
          <t>交換</t>
        </is>
      </c>
    </row>
    <row r="109" ht="17" customHeight="1" s="205" thickBot="1">
      <c r="A109" s="95" t="n"/>
      <c r="B109" s="258" t="n"/>
      <c r="C109" s="96" t="n"/>
      <c r="D109" s="263" t="n"/>
      <c r="E109" s="263" t="n"/>
      <c r="F109" s="250" t="n"/>
      <c r="G109" s="250" t="n"/>
      <c r="H109" s="250" t="n"/>
      <c r="I109" s="264" t="n"/>
      <c r="J109" s="91" t="n"/>
      <c r="K109" s="266" t="n"/>
      <c r="L109" s="220" t="n"/>
      <c r="M109" s="52" t="n"/>
      <c r="N109" s="261" t="n"/>
      <c r="O109" s="267" t="n"/>
      <c r="P109" s="100" t="n"/>
      <c r="Q109" s="261" t="n"/>
      <c r="R109" s="262" t="n"/>
      <c r="S109" s="93" t="n"/>
    </row>
    <row r="110" ht="17" customHeight="1" s="205" thickBot="1">
      <c r="A110" s="95" t="n"/>
      <c r="B110" s="241" t="n"/>
      <c r="C110" s="74" t="n"/>
      <c r="D110" s="263" t="n"/>
      <c r="E110" s="75" t="n"/>
      <c r="F110" s="268" t="n"/>
      <c r="G110" s="268" t="n"/>
      <c r="H110" s="268" t="n"/>
      <c r="I110" s="269" t="n"/>
      <c r="J110" s="38" t="n"/>
      <c r="K110" s="39" t="n"/>
      <c r="L110" s="220" t="n"/>
      <c r="M110" s="39" t="n"/>
      <c r="N110" s="221" t="n"/>
      <c r="O110" s="218" t="n"/>
      <c r="P110" s="53" t="n"/>
      <c r="Q110" s="221" t="n"/>
      <c r="R110" s="219" t="n"/>
      <c r="S110" s="39" t="n"/>
    </row>
    <row r="111" ht="17" customHeight="1" s="205" thickBot="1">
      <c r="A111" s="95" t="n"/>
      <c r="B111" s="258" t="n"/>
      <c r="C111" s="96" t="n"/>
      <c r="D111" s="263" t="n"/>
      <c r="E111" s="263" t="n"/>
      <c r="F111" s="250" t="n"/>
      <c r="G111" s="250" t="n"/>
      <c r="H111" s="250" t="n"/>
      <c r="I111" s="264" t="n"/>
      <c r="J111" s="91" t="n"/>
      <c r="K111" s="266" t="n"/>
      <c r="L111" s="270" t="n"/>
      <c r="M111" s="52" t="n"/>
      <c r="N111" s="261" t="n"/>
      <c r="O111" s="267" t="n"/>
      <c r="P111" s="100" t="n"/>
      <c r="Q111" s="261" t="n"/>
      <c r="R111" s="262" t="n"/>
      <c r="S111" s="93" t="n"/>
    </row>
    <row r="112" ht="16.7" customHeight="1" s="205">
      <c r="A112" s="103" t="n"/>
      <c r="B112" s="271" t="n"/>
      <c r="C112" s="104" t="n"/>
      <c r="D112" s="272" t="n"/>
      <c r="E112" s="272" t="n"/>
      <c r="F112" s="273" t="n"/>
      <c r="G112" s="273" t="n"/>
      <c r="H112" s="273" t="n"/>
      <c r="I112" s="274" t="n"/>
      <c r="J112" s="108" t="n"/>
      <c r="K112" s="275" t="n"/>
      <c r="L112" s="276" t="n"/>
      <c r="M112" s="110" t="n"/>
      <c r="N112" s="277" t="n"/>
      <c r="O112" s="278" t="n"/>
      <c r="P112" s="112" t="n"/>
      <c r="Q112" s="279" t="n"/>
      <c r="R112" s="280" t="n"/>
      <c r="S112" s="114" t="n"/>
    </row>
  </sheetData>
  <mergeCells count="1">
    <mergeCell ref="A1:S1"/>
  </mergeCells>
  <conditionalFormatting sqref="A1 A2:S3 A4:H55 A56:F64 B80 B86 F80 F86 G56:H87 G107:H108 I4:L26 I27:S29 I30:O30 I31:S39 I40:O40 I41:S49 I50:O50 I51:S51 I52:O52 I53:S64 J11:S11 J78:L78 J81:L81 L3:L52 L59:L105 L107:L108 M4:S7 M8:O8 M9:S26 N30:N83 O4:O106">
    <cfRule type="expression" priority="28" dxfId="0">
      <formula>$P1&lt;&gt;""</formula>
    </cfRule>
  </conditionalFormatting>
  <conditionalFormatting sqref="A2:S108">
    <cfRule type="expression" priority="15" dxfId="0">
      <formula>$Q2&lt;&gt;""</formula>
    </cfRule>
  </conditionalFormatting>
  <conditionalFormatting sqref="F107:G108">
    <cfRule type="expression" priority="14" dxfId="0">
      <formula>$P107&lt;&gt;""</formula>
    </cfRule>
  </conditionalFormatting>
  <conditionalFormatting sqref="J82:J83">
    <cfRule type="expression" priority="17" dxfId="0">
      <formula>$P82&lt;&gt;""</formula>
    </cfRule>
  </conditionalFormatting>
  <conditionalFormatting sqref="J92">
    <cfRule type="expression" priority="21" dxfId="0">
      <formula>$P92&lt;&gt;""</formula>
    </cfRule>
  </conditionalFormatting>
  <conditionalFormatting sqref="J101:J102">
    <cfRule type="expression" priority="19" dxfId="0">
      <formula>$P101&lt;&gt;""</formula>
    </cfRule>
  </conditionalFormatting>
  <conditionalFormatting sqref="J106:K106">
    <cfRule type="expression" priority="16" dxfId="0">
      <formula>$P106&lt;&gt;""</formula>
    </cfRule>
  </conditionalFormatting>
  <conditionalFormatting sqref="P8:S8">
    <cfRule type="expression" priority="26" dxfId="0">
      <formula>$P8&lt;&gt;""</formula>
    </cfRule>
  </conditionalFormatting>
  <conditionalFormatting sqref="P30:S30">
    <cfRule type="expression" priority="22" dxfId="0">
      <formula>$P30&lt;&gt;""</formula>
    </cfRule>
  </conditionalFormatting>
  <conditionalFormatting sqref="P34:S35">
    <cfRule type="expression" priority="11" dxfId="0">
      <formula>$P34&lt;&gt;""</formula>
    </cfRule>
  </conditionalFormatting>
  <conditionalFormatting sqref="P38:S38">
    <cfRule type="expression" priority="10" dxfId="0">
      <formula>$P38&lt;&gt;""</formula>
    </cfRule>
  </conditionalFormatting>
  <conditionalFormatting sqref="P40:S40">
    <cfRule type="expression" priority="24" dxfId="0">
      <formula>$P40&lt;&gt;""</formula>
    </cfRule>
  </conditionalFormatting>
  <conditionalFormatting sqref="P46:S46">
    <cfRule type="expression" priority="9" dxfId="0">
      <formula>$P46&lt;&gt;""</formula>
    </cfRule>
  </conditionalFormatting>
  <conditionalFormatting sqref="P50:S52">
    <cfRule type="expression" priority="8" dxfId="0">
      <formula>$P50&lt;&gt;""</formula>
    </cfRule>
  </conditionalFormatting>
  <conditionalFormatting sqref="P55:S57">
    <cfRule type="expression" priority="7" dxfId="0">
      <formula>$P55&lt;&gt;""</formula>
    </cfRule>
  </conditionalFormatting>
  <conditionalFormatting sqref="P65:S65">
    <cfRule type="expression" priority="6" dxfId="0">
      <formula>$P65&lt;&gt;""</formula>
    </cfRule>
  </conditionalFormatting>
  <conditionalFormatting sqref="P77:S77">
    <cfRule type="expression" priority="5" dxfId="0">
      <formula>$P77&lt;&gt;""</formula>
    </cfRule>
  </conditionalFormatting>
  <conditionalFormatting sqref="P79:S79">
    <cfRule type="expression" priority="4" dxfId="0">
      <formula>$P79&lt;&gt;""</formula>
    </cfRule>
  </conditionalFormatting>
  <conditionalFormatting sqref="P83:S83">
    <cfRule type="expression" priority="3" dxfId="0">
      <formula>$P83&lt;&gt;""</formula>
    </cfRule>
  </conditionalFormatting>
  <conditionalFormatting sqref="P11:S11">
    <cfRule type="expression" priority="2" dxfId="0">
      <formula>$P11&lt;&gt;""</formula>
    </cfRule>
  </conditionalFormatting>
  <conditionalFormatting sqref="P74:S74">
    <cfRule type="expression" priority="1" dxfId="0">
      <formula>$P74&lt;&gt;""</formula>
    </cfRule>
  </conditionalFormatting>
  <printOptions horizontalCentered="1" gridLines="1"/>
  <pageMargins left="0.25" right="0.25" top="0.75" bottom="0.75" header="0.3" footer="0.3"/>
  <pageSetup orientation="portrait" paperSize="9" scale="43" horizontalDpi="360" verticalDpi="36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91"/>
  <sheetViews>
    <sheetView showGridLines="0" workbookViewId="0">
      <selection activeCell="B6" sqref="B6:I90"/>
    </sheetView>
  </sheetViews>
  <sheetFormatPr baseColWidth="8" defaultColWidth="9" defaultRowHeight="13.7"/>
  <cols>
    <col width="1.76171875" customWidth="1" style="1" min="1" max="1"/>
    <col width="11" customWidth="1" style="184" min="2" max="2"/>
    <col width="8.76171875" customWidth="1" style="184" min="3" max="3"/>
    <col width="8.87890625" customWidth="1" style="185" min="4" max="4"/>
    <col width="17.76171875" customWidth="1" style="184" min="5" max="5"/>
    <col width="26.3515625" customWidth="1" style="184" min="6" max="6"/>
    <col width="10.234375" customWidth="1" style="184" min="7" max="7"/>
    <col width="8.1171875" customWidth="1" style="184" min="8" max="8"/>
    <col width="10.234375" customWidth="1" style="184" min="9" max="9"/>
    <col width="11.3515625" customWidth="1" style="2" min="10" max="10"/>
    <col width="9" customWidth="1" style="1" min="11" max="12"/>
    <col width="9" customWidth="1" style="1" min="13" max="16384"/>
  </cols>
  <sheetData>
    <row r="1" ht="6.6" customHeight="1" s="205"/>
    <row r="2" ht="19" customHeight="1" s="205">
      <c r="B2" s="183" t="inlineStr">
        <is>
          <t>鍵業鋼鐵股份有限公司</t>
        </is>
      </c>
    </row>
    <row r="3" ht="19" customHeight="1" s="205">
      <c r="B3" s="183" t="inlineStr">
        <is>
          <t>發票明細表</t>
        </is>
      </c>
      <c r="J3" s="20" t="n"/>
    </row>
    <row r="4" ht="14" customHeight="1" s="205" thickBot="1">
      <c r="B4" s="188" t="inlineStr">
        <is>
          <t>發票號碼:BJ18673450~BJ18673499</t>
        </is>
      </c>
      <c r="C4" s="187" t="n"/>
      <c r="D4" s="187" t="n"/>
      <c r="E4" s="187" t="n"/>
      <c r="G4" s="186" t="inlineStr">
        <is>
          <t>列印日期：115/06/10_17:19 - 1/2</t>
        </is>
      </c>
      <c r="H4" s="187" t="n"/>
      <c r="I4" s="187" t="n"/>
      <c r="J4" s="1" t="n"/>
    </row>
    <row r="5" ht="14" customHeight="1" s="205" thickBot="1">
      <c r="B5" s="13" t="inlineStr">
        <is>
          <t>發票號碼</t>
        </is>
      </c>
      <c r="C5" s="11" t="inlineStr">
        <is>
          <t>日期</t>
        </is>
      </c>
      <c r="D5" s="12" t="inlineStr">
        <is>
          <t>統編</t>
        </is>
      </c>
      <c r="E5" s="11" t="inlineStr">
        <is>
          <t>銷貨客戶</t>
        </is>
      </c>
      <c r="F5" s="11" t="inlineStr">
        <is>
          <t>買受人</t>
        </is>
      </c>
      <c r="G5" s="11" t="inlineStr">
        <is>
          <t>金額</t>
        </is>
      </c>
      <c r="H5" s="11" t="inlineStr">
        <is>
          <t>稅額</t>
        </is>
      </c>
      <c r="I5" s="11" t="inlineStr">
        <is>
          <t>小計</t>
        </is>
      </c>
      <c r="J5" s="21" t="n"/>
    </row>
    <row r="6" ht="16.95" customHeight="1" s="205" thickBot="1">
      <c r="A6" s="184" t="n"/>
      <c r="B6" s="10" t="inlineStr">
        <is>
          <t>BJ18673450</t>
        </is>
      </c>
      <c r="C6" s="5" t="inlineStr">
        <is>
          <t>115/05/04</t>
        </is>
      </c>
      <c r="D6" s="9" t="inlineStr">
        <is>
          <t>89871129</t>
        </is>
      </c>
      <c r="E6" s="6" t="inlineStr">
        <is>
          <t xml:space="preserve"> 鈞亘</t>
        </is>
      </c>
      <c r="F6" s="7" t="inlineStr">
        <is>
          <t xml:space="preserve"> 鈞亘鋼鐵股份有限公司</t>
        </is>
      </c>
      <c r="G6" s="8" t="n">
        <v>5277750</v>
      </c>
      <c r="H6" s="8" t="n">
        <v>263888</v>
      </c>
      <c r="I6" s="8" t="n">
        <v>5541638</v>
      </c>
    </row>
    <row r="7" ht="16.95" customHeight="1" s="205" thickBot="1">
      <c r="A7" s="184" t="n"/>
      <c r="B7" s="10" t="inlineStr">
        <is>
          <t>BJ18673451</t>
        </is>
      </c>
      <c r="C7" s="5" t="inlineStr">
        <is>
          <t>115/05/04</t>
        </is>
      </c>
      <c r="D7" s="9" t="inlineStr">
        <is>
          <t>89871129</t>
        </is>
      </c>
      <c r="E7" s="6" t="inlineStr">
        <is>
          <t xml:space="preserve"> 鈞亘</t>
        </is>
      </c>
      <c r="F7" s="7" t="inlineStr">
        <is>
          <t xml:space="preserve"> 鈞亘鋼鐵股份有限公司</t>
        </is>
      </c>
      <c r="G7" s="8" t="n">
        <v>2216996</v>
      </c>
      <c r="H7" s="8" t="n">
        <v>110850</v>
      </c>
      <c r="I7" s="8" t="n">
        <v>2327846</v>
      </c>
    </row>
    <row r="8" ht="16.95" customHeight="1" s="205" thickBot="1">
      <c r="A8" s="184" t="n"/>
      <c r="B8" s="10" t="inlineStr">
        <is>
          <t>BJ18673452</t>
        </is>
      </c>
      <c r="C8" s="5" t="inlineStr">
        <is>
          <t>115/05/04</t>
        </is>
      </c>
      <c r="D8" s="9" t="inlineStr">
        <is>
          <t>89510940</t>
        </is>
      </c>
      <c r="E8" s="6" t="inlineStr">
        <is>
          <t xml:space="preserve"> 松騰</t>
        </is>
      </c>
      <c r="F8" s="7" t="inlineStr">
        <is>
          <t xml:space="preserve"> 松騰金屬有限公司</t>
        </is>
      </c>
      <c r="G8" s="8" t="n">
        <v>331475</v>
      </c>
      <c r="H8" s="8" t="n">
        <v>16574</v>
      </c>
      <c r="I8" s="8" t="n">
        <v>348049</v>
      </c>
    </row>
    <row r="9" ht="16.95" customHeight="1" s="205" thickBot="1">
      <c r="A9" s="184" t="n"/>
      <c r="B9" s="10" t="inlineStr">
        <is>
          <t>BJ18673453</t>
        </is>
      </c>
      <c r="C9" s="5" t="inlineStr">
        <is>
          <t>115/05/04</t>
        </is>
      </c>
      <c r="D9" s="9" t="inlineStr">
        <is>
          <t>54869230</t>
        </is>
      </c>
      <c r="E9" s="6" t="inlineStr">
        <is>
          <t xml:space="preserve"> 鼎碩</t>
        </is>
      </c>
      <c r="F9" s="7" t="inlineStr">
        <is>
          <t xml:space="preserve"> 鼎碩金屬工業有限公司</t>
        </is>
      </c>
      <c r="G9" s="8" t="n">
        <v>14175</v>
      </c>
      <c r="H9" s="8" t="n">
        <v>709</v>
      </c>
      <c r="I9" s="8" t="n">
        <v>14884</v>
      </c>
    </row>
    <row r="10" ht="16.95" customHeight="1" s="205" thickBot="1">
      <c r="A10" s="184" t="n"/>
      <c r="B10" s="10" t="inlineStr">
        <is>
          <t>BJ18673454</t>
        </is>
      </c>
      <c r="C10" s="5" t="inlineStr">
        <is>
          <t>115/05/04</t>
        </is>
      </c>
      <c r="D10" s="9" t="inlineStr">
        <is>
          <t>97415975</t>
        </is>
      </c>
      <c r="E10" s="6" t="inlineStr">
        <is>
          <t xml:space="preserve"> 裕煌成</t>
        </is>
      </c>
      <c r="F10" s="7" t="inlineStr">
        <is>
          <t xml:space="preserve"> 裕煌成金屬有限公司</t>
        </is>
      </c>
      <c r="G10" s="8" t="n">
        <v>18830</v>
      </c>
      <c r="H10" s="8" t="n">
        <v>942</v>
      </c>
      <c r="I10" s="8" t="n">
        <v>19772</v>
      </c>
    </row>
    <row r="11" ht="16.95" customHeight="1" s="205" thickBot="1">
      <c r="A11" s="184" t="n"/>
      <c r="B11" s="10" t="inlineStr">
        <is>
          <t>BJ18673455</t>
        </is>
      </c>
      <c r="C11" s="5" t="inlineStr">
        <is>
          <t>115/05/04</t>
        </is>
      </c>
      <c r="D11" s="9" t="inlineStr">
        <is>
          <t>84405639</t>
        </is>
      </c>
      <c r="E11" s="6" t="inlineStr">
        <is>
          <t xml:space="preserve"> 寶鎬</t>
        </is>
      </c>
      <c r="F11" s="7" t="inlineStr">
        <is>
          <t xml:space="preserve"> 寶鎬不銹鋼股份有限公司</t>
        </is>
      </c>
      <c r="G11" s="8" t="n">
        <v>22740</v>
      </c>
      <c r="H11" s="8" t="n">
        <v>1137</v>
      </c>
      <c r="I11" s="8" t="n">
        <v>23877</v>
      </c>
    </row>
    <row r="12" ht="16.95" customHeight="1" s="205" thickBot="1">
      <c r="A12" s="184" t="n"/>
      <c r="B12" s="10" t="inlineStr">
        <is>
          <t>BJ18673456</t>
        </is>
      </c>
      <c r="C12" s="5" t="inlineStr">
        <is>
          <t>115/05/05</t>
        </is>
      </c>
      <c r="D12" s="9" t="inlineStr">
        <is>
          <t>97415975</t>
        </is>
      </c>
      <c r="E12" s="6" t="inlineStr">
        <is>
          <t xml:space="preserve"> 裕煌成</t>
        </is>
      </c>
      <c r="F12" s="7" t="inlineStr">
        <is>
          <t xml:space="preserve"> 裕煌成金屬有限公司</t>
        </is>
      </c>
      <c r="G12" s="8" t="n">
        <v>10080</v>
      </c>
      <c r="H12" s="8" t="n">
        <v>504</v>
      </c>
      <c r="I12" s="8" t="n">
        <v>10584</v>
      </c>
    </row>
    <row r="13" ht="16.95" customHeight="1" s="205" thickBot="1">
      <c r="A13" s="184" t="n"/>
      <c r="B13" s="10" t="inlineStr">
        <is>
          <t>BJ18673457</t>
        </is>
      </c>
      <c r="C13" s="5" t="inlineStr">
        <is>
          <t>115/05/05</t>
        </is>
      </c>
      <c r="D13" s="9" t="inlineStr">
        <is>
          <t>22556208</t>
        </is>
      </c>
      <c r="E13" s="6" t="inlineStr">
        <is>
          <t xml:space="preserve"> 煌傑</t>
        </is>
      </c>
      <c r="F13" s="7" t="inlineStr">
        <is>
          <t xml:space="preserve"> 煌傑金屬複合材料科技(股)公司</t>
        </is>
      </c>
      <c r="G13" s="8" t="n">
        <v>4410</v>
      </c>
      <c r="H13" s="8" t="n">
        <v>221</v>
      </c>
      <c r="I13" s="8" t="n">
        <v>4631</v>
      </c>
    </row>
    <row r="14" ht="16.95" customHeight="1" s="205" thickBot="1">
      <c r="A14" s="184" t="n"/>
      <c r="B14" s="10" t="inlineStr">
        <is>
          <t>BJ18673458</t>
        </is>
      </c>
      <c r="C14" s="5" t="inlineStr">
        <is>
          <t>115/05/06</t>
        </is>
      </c>
      <c r="D14" s="9" t="inlineStr">
        <is>
          <t>34482420</t>
        </is>
      </c>
      <c r="E14" s="6" t="inlineStr">
        <is>
          <t xml:space="preserve"> 昌平</t>
        </is>
      </c>
      <c r="F14" s="7" t="inlineStr">
        <is>
          <t xml:space="preserve"> 昌平實業股份有限公司</t>
        </is>
      </c>
      <c r="G14" s="8" t="n">
        <v>3080</v>
      </c>
      <c r="H14" s="8" t="n">
        <v>154</v>
      </c>
      <c r="I14" s="8" t="n">
        <v>3234</v>
      </c>
    </row>
    <row r="15" ht="16.95" customHeight="1" s="205" thickBot="1">
      <c r="A15" s="184" t="n"/>
      <c r="B15" s="10" t="inlineStr">
        <is>
          <t>BJ18673459</t>
        </is>
      </c>
      <c r="C15" s="5" t="inlineStr">
        <is>
          <t>115/05/06</t>
        </is>
      </c>
      <c r="D15" s="9" t="inlineStr">
        <is>
          <t>97415975</t>
        </is>
      </c>
      <c r="E15" s="6" t="inlineStr">
        <is>
          <t xml:space="preserve"> 裕煌成</t>
        </is>
      </c>
      <c r="F15" s="7" t="inlineStr">
        <is>
          <t xml:space="preserve"> 裕煌成金屬有限公司</t>
        </is>
      </c>
      <c r="G15" s="8" t="n">
        <v>50265</v>
      </c>
      <c r="H15" s="8" t="n">
        <v>2513</v>
      </c>
      <c r="I15" s="8" t="n">
        <v>52778</v>
      </c>
    </row>
    <row r="16" ht="16.95" customHeight="1" s="205" thickBot="1">
      <c r="A16" s="184" t="n"/>
      <c r="B16" s="10" t="inlineStr">
        <is>
          <t>BJ18673460</t>
        </is>
      </c>
      <c r="C16" s="5" t="inlineStr">
        <is>
          <t>115/05/07</t>
        </is>
      </c>
      <c r="D16" s="9" t="inlineStr">
        <is>
          <t>97415975</t>
        </is>
      </c>
      <c r="E16" s="6" t="inlineStr">
        <is>
          <t xml:space="preserve"> 裕煌成</t>
        </is>
      </c>
      <c r="F16" s="7" t="inlineStr">
        <is>
          <t xml:space="preserve"> 裕煌成金屬有限公司</t>
        </is>
      </c>
      <c r="G16" s="8" t="n">
        <v>11972</v>
      </c>
      <c r="H16" s="8" t="n">
        <v>599</v>
      </c>
      <c r="I16" s="8" t="n">
        <v>12571</v>
      </c>
    </row>
    <row r="17" ht="16.95" customHeight="1" s="205" thickBot="1">
      <c r="A17" s="184" t="n"/>
      <c r="B17" s="10" t="inlineStr">
        <is>
          <t>BJ18673461</t>
        </is>
      </c>
      <c r="C17" s="5" t="inlineStr">
        <is>
          <t>115/05/08</t>
        </is>
      </c>
      <c r="D17" s="9" t="inlineStr">
        <is>
          <t>54869230</t>
        </is>
      </c>
      <c r="E17" s="6" t="inlineStr">
        <is>
          <t xml:space="preserve"> 鼎碩</t>
        </is>
      </c>
      <c r="F17" s="7" t="inlineStr">
        <is>
          <t xml:space="preserve"> 鼎碩金屬工業有限公司</t>
        </is>
      </c>
      <c r="G17" s="8" t="n">
        <v>7728</v>
      </c>
      <c r="H17" s="8" t="n">
        <v>386</v>
      </c>
      <c r="I17" s="8" t="n">
        <v>8114</v>
      </c>
    </row>
    <row r="18" ht="16.95" customHeight="1" s="205" thickBot="1">
      <c r="A18" s="184" t="n"/>
      <c r="B18" s="10" t="inlineStr">
        <is>
          <t>BJ18673462</t>
        </is>
      </c>
      <c r="C18" s="5" t="inlineStr">
        <is>
          <t>115/05/12</t>
        </is>
      </c>
      <c r="D18" s="9" t="inlineStr">
        <is>
          <t>31285902</t>
        </is>
      </c>
      <c r="E18" s="6" t="inlineStr">
        <is>
          <t xml:space="preserve"> 綠茵</t>
        </is>
      </c>
      <c r="F18" s="7" t="inlineStr">
        <is>
          <t xml:space="preserve"> 綠茵電機有限公司</t>
        </is>
      </c>
      <c r="G18" s="8" t="n">
        <v>374136</v>
      </c>
      <c r="H18" s="8" t="n">
        <v>18707</v>
      </c>
      <c r="I18" s="8" t="n">
        <v>392843</v>
      </c>
    </row>
    <row r="19" ht="16.95" customHeight="1" s="205" thickBot="1">
      <c r="A19" s="184" t="n"/>
      <c r="B19" s="10" t="inlineStr">
        <is>
          <t>BJ18673463</t>
        </is>
      </c>
      <c r="C19" s="5" t="inlineStr">
        <is>
          <t>115/05/12</t>
        </is>
      </c>
      <c r="D19" s="9" t="inlineStr">
        <is>
          <t>97415975</t>
        </is>
      </c>
      <c r="E19" s="6" t="inlineStr">
        <is>
          <t xml:space="preserve"> 裕煌成</t>
        </is>
      </c>
      <c r="F19" s="7" t="inlineStr">
        <is>
          <t xml:space="preserve"> 裕煌成金屬有限公司</t>
        </is>
      </c>
      <c r="G19" s="8" t="n">
        <v>360396</v>
      </c>
      <c r="H19" s="8" t="n">
        <v>18020</v>
      </c>
      <c r="I19" s="8" t="n">
        <v>378416</v>
      </c>
    </row>
    <row r="20" ht="16.95" customHeight="1" s="205" thickBot="1">
      <c r="A20" s="184" t="n"/>
      <c r="B20" s="10" t="inlineStr">
        <is>
          <t>BJ18673464</t>
        </is>
      </c>
      <c r="C20" s="5" t="inlineStr">
        <is>
          <t>115/05/13</t>
        </is>
      </c>
      <c r="D20" s="9" t="inlineStr">
        <is>
          <t>97415975</t>
        </is>
      </c>
      <c r="E20" s="6" t="inlineStr">
        <is>
          <t xml:space="preserve"> 裕煌成</t>
        </is>
      </c>
      <c r="F20" s="7" t="inlineStr">
        <is>
          <t xml:space="preserve"> 裕煌成金屬有限公司</t>
        </is>
      </c>
      <c r="G20" s="8" t="n">
        <v>21640</v>
      </c>
      <c r="H20" s="8" t="n">
        <v>1082</v>
      </c>
      <c r="I20" s="8" t="n">
        <v>22722</v>
      </c>
    </row>
    <row r="21" ht="16.95" customHeight="1" s="205" thickBot="1">
      <c r="A21" s="184" t="n"/>
      <c r="B21" s="10" t="inlineStr">
        <is>
          <t>BJ18673465</t>
        </is>
      </c>
      <c r="C21" s="5" t="inlineStr">
        <is>
          <t>115/05/13</t>
        </is>
      </c>
      <c r="D21" s="9" t="inlineStr">
        <is>
          <t>73626826</t>
        </is>
      </c>
      <c r="E21" s="6" t="inlineStr">
        <is>
          <t xml:space="preserve"> 桂盟</t>
        </is>
      </c>
      <c r="F21" s="7" t="inlineStr">
        <is>
          <t xml:space="preserve"> 桂盟企業股份有限公司</t>
        </is>
      </c>
      <c r="G21" s="8" t="n">
        <v>149880</v>
      </c>
      <c r="H21" s="8" t="n">
        <v>7494</v>
      </c>
      <c r="I21" s="8" t="n">
        <v>157374</v>
      </c>
    </row>
    <row r="22" ht="16.95" customHeight="1" s="205" thickBot="1">
      <c r="A22" s="184" t="n"/>
      <c r="B22" s="10" t="inlineStr">
        <is>
          <t>BJ18673466</t>
        </is>
      </c>
      <c r="C22" s="5" t="inlineStr">
        <is>
          <t>115/05/13</t>
        </is>
      </c>
      <c r="D22" s="9" t="inlineStr">
        <is>
          <t>23845797</t>
        </is>
      </c>
      <c r="E22" s="6" t="inlineStr">
        <is>
          <t xml:space="preserve"> 航將</t>
        </is>
      </c>
      <c r="F22" s="7" t="inlineStr">
        <is>
          <t xml:space="preserve"> 航將工業有限公司</t>
        </is>
      </c>
      <c r="G22" s="8" t="n">
        <v>1407080</v>
      </c>
      <c r="H22" s="8" t="n">
        <v>70354</v>
      </c>
      <c r="I22" s="8" t="n">
        <v>1477434</v>
      </c>
    </row>
    <row r="23" ht="16.95" customHeight="1" s="205" thickBot="1">
      <c r="A23" s="184" t="n"/>
      <c r="B23" s="10" t="inlineStr">
        <is>
          <t>BJ18673467</t>
        </is>
      </c>
      <c r="C23" s="5" t="inlineStr">
        <is>
          <t>115/05/15</t>
        </is>
      </c>
      <c r="D23" s="9" t="inlineStr">
        <is>
          <t>97415975</t>
        </is>
      </c>
      <c r="E23" s="6" t="inlineStr">
        <is>
          <t xml:space="preserve"> 裕煌成</t>
        </is>
      </c>
      <c r="F23" s="7" t="inlineStr">
        <is>
          <t xml:space="preserve"> 裕煌成金屬有限公司</t>
        </is>
      </c>
      <c r="G23" s="8" t="n">
        <v>274525</v>
      </c>
      <c r="H23" s="8" t="n">
        <v>13726</v>
      </c>
      <c r="I23" s="8" t="n">
        <v>288251</v>
      </c>
    </row>
    <row r="24" ht="16.95" customHeight="1" s="205" thickBot="1">
      <c r="A24" s="184" t="n"/>
      <c r="B24" s="10" t="inlineStr">
        <is>
          <t>BJ18673468</t>
        </is>
      </c>
      <c r="C24" s="5" t="inlineStr">
        <is>
          <t>115/05/15</t>
        </is>
      </c>
      <c r="D24" s="9" t="inlineStr">
        <is>
          <t>54869230</t>
        </is>
      </c>
      <c r="E24" s="6" t="inlineStr">
        <is>
          <t xml:space="preserve"> 鼎碩</t>
        </is>
      </c>
      <c r="F24" s="7" t="inlineStr">
        <is>
          <t xml:space="preserve"> 鼎碩金屬工業有限公司</t>
        </is>
      </c>
      <c r="G24" s="8" t="n">
        <v>7475</v>
      </c>
      <c r="H24" s="8" t="n">
        <v>374</v>
      </c>
      <c r="I24" s="8" t="n">
        <v>7849</v>
      </c>
    </row>
    <row r="25" ht="16.95" customHeight="1" s="205" thickBot="1">
      <c r="A25" s="184" t="n"/>
      <c r="B25" s="10" t="inlineStr">
        <is>
          <t>BJ18673469</t>
        </is>
      </c>
      <c r="C25" s="5" t="inlineStr">
        <is>
          <t>115/05/18</t>
        </is>
      </c>
      <c r="D25" s="9" t="inlineStr">
        <is>
          <t>24507703</t>
        </is>
      </c>
      <c r="E25" s="6" t="inlineStr">
        <is>
          <t xml:space="preserve"> 立棕</t>
        </is>
      </c>
      <c r="F25" s="7" t="inlineStr">
        <is>
          <t xml:space="preserve"> 立棕企業有限公司</t>
        </is>
      </c>
      <c r="G25" s="8" t="n">
        <v>148636</v>
      </c>
      <c r="H25" s="8" t="n">
        <v>7432</v>
      </c>
      <c r="I25" s="8" t="n">
        <v>156068</v>
      </c>
    </row>
    <row r="26" ht="16.95" customHeight="1" s="205" thickBot="1">
      <c r="A26" s="184" t="n"/>
      <c r="B26" s="10" t="inlineStr">
        <is>
          <t>BJ18673470</t>
        </is>
      </c>
      <c r="C26" s="5" t="inlineStr">
        <is>
          <t>115/05/18</t>
        </is>
      </c>
      <c r="D26" s="9" t="inlineStr">
        <is>
          <t>84405639</t>
        </is>
      </c>
      <c r="E26" s="6" t="inlineStr">
        <is>
          <t xml:space="preserve"> 寶鎬</t>
        </is>
      </c>
      <c r="F26" s="7" t="inlineStr">
        <is>
          <t xml:space="preserve"> 寶鎬不銹鋼股份有限公司</t>
        </is>
      </c>
      <c r="G26" s="8" t="n">
        <v>69705</v>
      </c>
      <c r="H26" s="8" t="n">
        <v>3485</v>
      </c>
      <c r="I26" s="8" t="n">
        <v>73190</v>
      </c>
    </row>
    <row r="27" ht="16.95" customHeight="1" s="205" thickBot="1">
      <c r="A27" s="184" t="n"/>
      <c r="B27" s="10" t="inlineStr">
        <is>
          <t>BJ18673471</t>
        </is>
      </c>
      <c r="C27" s="5" t="inlineStr">
        <is>
          <t>115/05/20</t>
        </is>
      </c>
      <c r="D27" s="9" t="inlineStr">
        <is>
          <t>97415975</t>
        </is>
      </c>
      <c r="E27" s="6" t="inlineStr">
        <is>
          <t xml:space="preserve"> 裕煌成</t>
        </is>
      </c>
      <c r="F27" s="7" t="inlineStr">
        <is>
          <t xml:space="preserve"> 裕煌成金屬有限公司</t>
        </is>
      </c>
      <c r="G27" s="8" t="n">
        <v>273260</v>
      </c>
      <c r="H27" s="8" t="n">
        <v>13663</v>
      </c>
      <c r="I27" s="8" t="n">
        <v>286923</v>
      </c>
    </row>
    <row r="28" ht="16.95" customHeight="1" s="205" thickBot="1">
      <c r="A28" s="184" t="n"/>
      <c r="B28" s="10" t="inlineStr">
        <is>
          <t>BJ18673472</t>
        </is>
      </c>
      <c r="C28" s="5" t="inlineStr">
        <is>
          <t>115/05/22</t>
        </is>
      </c>
      <c r="D28" s="9" t="inlineStr">
        <is>
          <t>54294755</t>
        </is>
      </c>
      <c r="E28" s="6" t="inlineStr">
        <is>
          <t xml:space="preserve"> 盛德</t>
        </is>
      </c>
      <c r="F28" s="7" t="inlineStr">
        <is>
          <t xml:space="preserve"> 盛德工業股份有限公司</t>
        </is>
      </c>
      <c r="G28" s="8" t="n">
        <v>22134</v>
      </c>
      <c r="H28" s="8" t="n">
        <v>1107</v>
      </c>
      <c r="I28" s="8" t="n">
        <v>23241</v>
      </c>
    </row>
    <row r="29" ht="16.95" customHeight="1" s="205" thickBot="1">
      <c r="A29" s="184" t="n"/>
      <c r="B29" s="10" t="inlineStr">
        <is>
          <t>BJ18673473</t>
        </is>
      </c>
      <c r="C29" s="5" t="inlineStr">
        <is>
          <t>115/05/22</t>
        </is>
      </c>
      <c r="D29" s="9" t="inlineStr">
        <is>
          <t>36070394</t>
        </is>
      </c>
      <c r="E29" s="6" t="inlineStr">
        <is>
          <t xml:space="preserve"> 偉群</t>
        </is>
      </c>
      <c r="F29" s="7" t="inlineStr">
        <is>
          <t xml:space="preserve"> 偉群製刀工業股份有限公司</t>
        </is>
      </c>
      <c r="G29" s="8" t="n">
        <v>81190</v>
      </c>
      <c r="H29" s="8" t="n">
        <v>4060</v>
      </c>
      <c r="I29" s="8" t="n">
        <v>85250</v>
      </c>
    </row>
    <row r="30" ht="16.95" customHeight="1" s="205" thickBot="1">
      <c r="A30" s="184" t="n"/>
      <c r="B30" s="10" t="inlineStr">
        <is>
          <t>BJ18673474</t>
        </is>
      </c>
      <c r="C30" s="5" t="inlineStr">
        <is>
          <t>115/05/22</t>
        </is>
      </c>
      <c r="D30" s="9" t="inlineStr">
        <is>
          <t>86080002</t>
        </is>
      </c>
      <c r="E30" s="6" t="inlineStr">
        <is>
          <t xml:space="preserve"> 會億</t>
        </is>
      </c>
      <c r="F30" s="7" t="inlineStr">
        <is>
          <t xml:space="preserve"> 會億有限公司</t>
        </is>
      </c>
      <c r="G30" s="8" t="n">
        <v>11565</v>
      </c>
      <c r="H30" s="8" t="n">
        <v>578</v>
      </c>
      <c r="I30" s="8" t="n">
        <v>12143</v>
      </c>
    </row>
    <row r="31" ht="16.95" customHeight="1" s="205" thickBot="1">
      <c r="A31" s="184" t="n"/>
      <c r="B31" s="10" t="inlineStr">
        <is>
          <t>BJ18673475</t>
        </is>
      </c>
      <c r="C31" s="5" t="inlineStr">
        <is>
          <t>115/05/22</t>
        </is>
      </c>
      <c r="D31" s="9" t="inlineStr">
        <is>
          <t>81154638</t>
        </is>
      </c>
      <c r="E31" s="6" t="inlineStr">
        <is>
          <t xml:space="preserve"> 鑫滙</t>
        </is>
      </c>
      <c r="F31" s="7" t="inlineStr">
        <is>
          <t xml:space="preserve"> 鑫滙金屬股份有限公司</t>
        </is>
      </c>
      <c r="G31" s="8" t="n">
        <v>104760</v>
      </c>
      <c r="H31" s="8" t="n">
        <v>5238</v>
      </c>
      <c r="I31" s="8" t="n">
        <v>109998</v>
      </c>
    </row>
    <row r="32" ht="16.95" customHeight="1" s="205" thickBot="1">
      <c r="A32" s="184" t="n"/>
      <c r="B32" s="10" t="inlineStr">
        <is>
          <t>BJ18673476</t>
        </is>
      </c>
      <c r="C32" s="5" t="inlineStr">
        <is>
          <t>115/05/22</t>
        </is>
      </c>
      <c r="D32" s="9" t="inlineStr">
        <is>
          <t>70707660</t>
        </is>
      </c>
      <c r="E32" s="6" t="inlineStr">
        <is>
          <t xml:space="preserve"> 大朋</t>
        </is>
      </c>
      <c r="F32" s="7" t="inlineStr">
        <is>
          <t xml:space="preserve"> 大朋國際股份有限公司</t>
        </is>
      </c>
      <c r="G32" s="8" t="n">
        <v>54384</v>
      </c>
      <c r="H32" s="8" t="n">
        <v>2719</v>
      </c>
      <c r="I32" s="8" t="n">
        <v>57103</v>
      </c>
    </row>
    <row r="33" ht="16.95" customHeight="1" s="205" thickBot="1">
      <c r="A33" s="184" t="n"/>
      <c r="B33" s="10" t="inlineStr">
        <is>
          <t>BJ18673477</t>
        </is>
      </c>
      <c r="C33" s="5" t="inlineStr">
        <is>
          <t>115/05/22</t>
        </is>
      </c>
      <c r="D33" s="9" t="inlineStr">
        <is>
          <t>21891324</t>
        </is>
      </c>
      <c r="E33" s="6" t="inlineStr">
        <is>
          <t xml:space="preserve"> 大和豐</t>
        </is>
      </c>
      <c r="F33" s="7" t="inlineStr">
        <is>
          <t xml:space="preserve"> 大和豐工業社</t>
        </is>
      </c>
      <c r="G33" s="8" t="n">
        <v>8600</v>
      </c>
      <c r="H33" s="8" t="n">
        <v>430</v>
      </c>
      <c r="I33" s="8" t="n">
        <v>9030</v>
      </c>
    </row>
    <row r="34" ht="16.95" customHeight="1" s="205" thickBot="1">
      <c r="A34" s="184" t="n"/>
      <c r="B34" s="10" t="inlineStr">
        <is>
          <t>BJ18673478</t>
        </is>
      </c>
      <c r="C34" s="5" t="inlineStr">
        <is>
          <t>115/05/22</t>
        </is>
      </c>
      <c r="D34" s="9" t="inlineStr">
        <is>
          <t>22993947</t>
        </is>
      </c>
      <c r="E34" s="6" t="inlineStr">
        <is>
          <t xml:space="preserve"> 天源</t>
        </is>
      </c>
      <c r="F34" s="7" t="inlineStr">
        <is>
          <t xml:space="preserve"> 天源特殊鋼有限公司</t>
        </is>
      </c>
      <c r="G34" s="8" t="n">
        <v>99600</v>
      </c>
      <c r="H34" s="8" t="n">
        <v>4980</v>
      </c>
      <c r="I34" s="8" t="n">
        <v>104580</v>
      </c>
    </row>
    <row r="35" ht="16.95" customHeight="1" s="205" thickBot="1">
      <c r="A35" s="184" t="n"/>
      <c r="B35" s="10" t="inlineStr">
        <is>
          <t>BJ18673479</t>
        </is>
      </c>
      <c r="C35" s="5" t="inlineStr">
        <is>
          <t>115/05/22</t>
        </is>
      </c>
      <c r="D35" s="9" t="inlineStr">
        <is>
          <t>23098722</t>
        </is>
      </c>
      <c r="E35" s="6" t="inlineStr">
        <is>
          <t xml:space="preserve"> 友昕</t>
        </is>
      </c>
      <c r="F35" s="7" t="inlineStr">
        <is>
          <t xml:space="preserve"> 友昕企業有限公司</t>
        </is>
      </c>
      <c r="G35" s="8" t="n">
        <v>11952</v>
      </c>
      <c r="H35" s="8" t="n">
        <v>598</v>
      </c>
      <c r="I35" s="8" t="n">
        <v>12550</v>
      </c>
    </row>
    <row r="36" ht="16.95" customHeight="1" s="205" thickBot="1">
      <c r="A36" s="184" t="n"/>
      <c r="B36" s="10" t="inlineStr">
        <is>
          <t>BJ18673480</t>
        </is>
      </c>
      <c r="C36" s="5" t="inlineStr">
        <is>
          <t>115/05/22</t>
        </is>
      </c>
      <c r="D36" s="9" t="inlineStr">
        <is>
          <t>35980120</t>
        </is>
      </c>
      <c r="E36" s="6" t="inlineStr">
        <is>
          <t xml:space="preserve"> 立耀</t>
        </is>
      </c>
      <c r="F36" s="7" t="inlineStr">
        <is>
          <t xml:space="preserve"> 立耀工業股份有限公司</t>
        </is>
      </c>
      <c r="G36" s="8" t="n">
        <v>80981</v>
      </c>
      <c r="H36" s="8" t="n">
        <v>4049</v>
      </c>
      <c r="I36" s="8" t="n">
        <v>85030</v>
      </c>
    </row>
    <row r="37" ht="16.95" customHeight="1" s="205" thickBot="1">
      <c r="A37" s="184" t="n"/>
      <c r="B37" s="10" t="inlineStr">
        <is>
          <t>BJ18673481</t>
        </is>
      </c>
      <c r="C37" s="5" t="inlineStr">
        <is>
          <t>115/05/22</t>
        </is>
      </c>
      <c r="D37" s="9" t="inlineStr">
        <is>
          <t>35132196</t>
        </is>
      </c>
      <c r="E37" s="6" t="inlineStr">
        <is>
          <t xml:space="preserve"> 弘隆</t>
        </is>
      </c>
      <c r="F37" s="7" t="inlineStr">
        <is>
          <t xml:space="preserve"> 弘隆工業股份有限公司</t>
        </is>
      </c>
      <c r="G37" s="8" t="n">
        <v>119456</v>
      </c>
      <c r="H37" s="8" t="n">
        <v>5973</v>
      </c>
      <c r="I37" s="8" t="n">
        <v>125429</v>
      </c>
    </row>
    <row r="38" ht="16.95" customHeight="1" s="205" thickBot="1">
      <c r="A38" s="184" t="n"/>
      <c r="B38" s="10" t="inlineStr">
        <is>
          <t>BJ18673482</t>
        </is>
      </c>
      <c r="C38" s="5" t="inlineStr">
        <is>
          <t>115/05/22</t>
        </is>
      </c>
      <c r="D38" s="9" t="inlineStr">
        <is>
          <t>13138794</t>
        </is>
      </c>
      <c r="E38" s="6" t="inlineStr">
        <is>
          <t xml:space="preserve"> 丞泰</t>
        </is>
      </c>
      <c r="F38" s="7" t="inlineStr">
        <is>
          <t xml:space="preserve"> 丞泰開發有限公司</t>
        </is>
      </c>
      <c r="G38" s="8" t="n">
        <v>102101</v>
      </c>
      <c r="H38" s="8" t="n">
        <v>5105</v>
      </c>
      <c r="I38" s="8" t="n">
        <v>107206</v>
      </c>
    </row>
    <row r="39" ht="16.95" customHeight="1" s="205" thickBot="1">
      <c r="A39" s="184" t="n"/>
      <c r="B39" s="10" t="inlineStr">
        <is>
          <t>BJ18673483</t>
        </is>
      </c>
      <c r="C39" s="5" t="inlineStr">
        <is>
          <t>115/05/22</t>
        </is>
      </c>
      <c r="D39" s="9" t="inlineStr">
        <is>
          <t>54508601</t>
        </is>
      </c>
      <c r="E39" s="6" t="inlineStr">
        <is>
          <t xml:space="preserve"> 阡阡</t>
        </is>
      </c>
      <c r="F39" s="7" t="inlineStr">
        <is>
          <t xml:space="preserve"> 阡阡實業有限公司</t>
        </is>
      </c>
      <c r="G39" s="8" t="n">
        <v>68586</v>
      </c>
      <c r="H39" s="8" t="n">
        <v>3429</v>
      </c>
      <c r="I39" s="8" t="n">
        <v>72015</v>
      </c>
    </row>
    <row r="40" ht="16.95" customHeight="1" s="205" thickBot="1">
      <c r="A40" s="184" t="n"/>
      <c r="B40" s="10" t="inlineStr">
        <is>
          <t>BJ18673484</t>
        </is>
      </c>
      <c r="C40" s="5" t="inlineStr">
        <is>
          <t>115/05/22</t>
        </is>
      </c>
      <c r="D40" s="9" t="inlineStr">
        <is>
          <t>54853125</t>
        </is>
      </c>
      <c r="E40" s="6" t="inlineStr">
        <is>
          <t xml:space="preserve"> 坤大</t>
        </is>
      </c>
      <c r="F40" s="7" t="inlineStr">
        <is>
          <t xml:space="preserve"> 坤大鋼鐵有限公司</t>
        </is>
      </c>
      <c r="G40" s="8" t="n">
        <v>41364</v>
      </c>
      <c r="H40" s="8" t="n">
        <v>2068</v>
      </c>
      <c r="I40" s="8" t="n">
        <v>43432</v>
      </c>
    </row>
    <row r="41" ht="16.95" customHeight="1" s="205" thickBot="1">
      <c r="A41" s="184" t="n"/>
      <c r="B41" s="10" t="inlineStr">
        <is>
          <t>BJ18673485</t>
        </is>
      </c>
      <c r="C41" s="5" t="inlineStr">
        <is>
          <t>115/05/22</t>
        </is>
      </c>
      <c r="D41" s="9" t="inlineStr">
        <is>
          <t>23855909</t>
        </is>
      </c>
      <c r="E41" s="6" t="inlineStr">
        <is>
          <t xml:space="preserve"> 昱萊</t>
        </is>
      </c>
      <c r="F41" s="7" t="inlineStr">
        <is>
          <t xml:space="preserve"> 昱萊股份有限公司</t>
        </is>
      </c>
      <c r="G41" s="8" t="n">
        <v>39795</v>
      </c>
      <c r="H41" s="8" t="n">
        <v>1990</v>
      </c>
      <c r="I41" s="8" t="n">
        <v>41785</v>
      </c>
    </row>
    <row r="42" ht="16.95" customHeight="1" s="205" thickBot="1">
      <c r="A42" s="184" t="n"/>
      <c r="B42" s="10" t="inlineStr">
        <is>
          <t>BJ18673486</t>
        </is>
      </c>
      <c r="C42" s="5" t="inlineStr">
        <is>
          <t>115/05/22</t>
        </is>
      </c>
      <c r="D42" s="9" t="inlineStr">
        <is>
          <t>13021274</t>
        </is>
      </c>
      <c r="E42" s="6" t="inlineStr">
        <is>
          <t xml:space="preserve"> 春成</t>
        </is>
      </c>
      <c r="F42" s="7" t="inlineStr">
        <is>
          <t xml:space="preserve"> 春成鋼模有限公司</t>
        </is>
      </c>
      <c r="G42" s="8" t="n">
        <v>8050</v>
      </c>
      <c r="H42" s="8" t="n">
        <v>403</v>
      </c>
      <c r="I42" s="8" t="n">
        <v>8453</v>
      </c>
    </row>
    <row r="43" ht="16.95" customHeight="1" s="205" thickBot="1">
      <c r="A43" s="184" t="n"/>
      <c r="B43" s="10" t="inlineStr">
        <is>
          <t>BJ18673487</t>
        </is>
      </c>
      <c r="C43" s="5" t="inlineStr">
        <is>
          <t>115/05/22</t>
        </is>
      </c>
      <c r="D43" s="9" t="inlineStr">
        <is>
          <t>28079962</t>
        </is>
      </c>
      <c r="E43" s="6" t="inlineStr">
        <is>
          <t xml:space="preserve"> 晉勝</t>
        </is>
      </c>
      <c r="F43" s="7" t="inlineStr">
        <is>
          <t xml:space="preserve"> 晉勝有限公司</t>
        </is>
      </c>
      <c r="G43" s="8" t="n">
        <v>143220</v>
      </c>
      <c r="H43" s="8" t="n">
        <v>7161</v>
      </c>
      <c r="I43" s="8" t="n">
        <v>150381</v>
      </c>
    </row>
    <row r="44" ht="16.95" customHeight="1" s="205" thickBot="1">
      <c r="A44" s="184" t="n"/>
      <c r="B44" s="10" t="inlineStr">
        <is>
          <t>BJ18673488</t>
        </is>
      </c>
      <c r="C44" s="5" t="inlineStr">
        <is>
          <t>115/05/22</t>
        </is>
      </c>
      <c r="D44" s="9" t="inlineStr">
        <is>
          <t>89303359</t>
        </is>
      </c>
      <c r="E44" s="6" t="inlineStr">
        <is>
          <t xml:space="preserve"> 陵偉</t>
        </is>
      </c>
      <c r="F44" s="7" t="inlineStr">
        <is>
          <t xml:space="preserve"> 陵偉刀片有限公司</t>
        </is>
      </c>
      <c r="G44" s="8" t="n">
        <v>17200</v>
      </c>
      <c r="H44" s="8" t="n">
        <v>860</v>
      </c>
      <c r="I44" s="8" t="n">
        <v>18060</v>
      </c>
    </row>
    <row r="45" ht="16.95" customHeight="1" s="205" thickBot="1">
      <c r="A45" s="184" t="n"/>
      <c r="B45" s="10" t="inlineStr">
        <is>
          <t>BJ18673489</t>
        </is>
      </c>
      <c r="C45" s="5" t="inlineStr">
        <is>
          <t>115/05/22</t>
        </is>
      </c>
      <c r="D45" s="9" t="inlineStr">
        <is>
          <t>84159159</t>
        </is>
      </c>
      <c r="E45" s="6" t="inlineStr">
        <is>
          <t xml:space="preserve"> 健達</t>
        </is>
      </c>
      <c r="F45" s="7" t="inlineStr">
        <is>
          <t xml:space="preserve"> 健達鋼鐵有限公司</t>
        </is>
      </c>
      <c r="G45" s="8" t="n">
        <v>11100</v>
      </c>
      <c r="H45" s="8" t="n">
        <v>555</v>
      </c>
      <c r="I45" s="8" t="n">
        <v>11655</v>
      </c>
    </row>
    <row r="46" ht="16.95" customHeight="1" s="205" thickBot="1">
      <c r="A46" s="184" t="n"/>
      <c r="B46" s="10" t="inlineStr">
        <is>
          <t>BJ18673490</t>
        </is>
      </c>
      <c r="C46" s="5" t="inlineStr">
        <is>
          <t>115/05/22</t>
        </is>
      </c>
      <c r="D46" s="9" t="inlineStr">
        <is>
          <t>86672293</t>
        </is>
      </c>
      <c r="E46" s="6" t="inlineStr">
        <is>
          <t xml:space="preserve"> 新日發</t>
        </is>
      </c>
      <c r="F46" s="7" t="inlineStr">
        <is>
          <t xml:space="preserve"> 新日發精密股份有限公司</t>
        </is>
      </c>
      <c r="G46" s="8" t="n">
        <v>86938</v>
      </c>
      <c r="H46" s="8" t="n">
        <v>4347</v>
      </c>
      <c r="I46" s="8" t="n">
        <v>91285</v>
      </c>
    </row>
    <row r="47" ht="16.95" customHeight="1" s="205" thickBot="1">
      <c r="A47" s="184" t="n"/>
      <c r="B47" s="10" t="inlineStr">
        <is>
          <t>BJ18673491</t>
        </is>
      </c>
      <c r="C47" s="5" t="inlineStr">
        <is>
          <t>115/05/22</t>
        </is>
      </c>
      <c r="D47" s="9" t="inlineStr">
        <is>
          <t>84956794</t>
        </is>
      </c>
      <c r="E47" s="6" t="inlineStr">
        <is>
          <t xml:space="preserve"> 台灣鏵司</t>
        </is>
      </c>
      <c r="F47" s="7" t="inlineStr">
        <is>
          <t xml:space="preserve"> 台灣鏵司企業股份有限公司</t>
        </is>
      </c>
      <c r="G47" s="8" t="n">
        <v>47600</v>
      </c>
      <c r="H47" s="8" t="n">
        <v>2380</v>
      </c>
      <c r="I47" s="8" t="n">
        <v>49980</v>
      </c>
    </row>
    <row r="48" ht="16.95" customHeight="1" s="205" thickBot="1">
      <c r="A48" s="184" t="n"/>
      <c r="B48" s="10" t="inlineStr">
        <is>
          <t>BJ18673492</t>
        </is>
      </c>
      <c r="C48" s="5" t="inlineStr">
        <is>
          <t>115/05/22</t>
        </is>
      </c>
      <c r="D48" s="9" t="inlineStr">
        <is>
          <t>53168082</t>
        </is>
      </c>
      <c r="E48" s="6" t="inlineStr">
        <is>
          <t xml:space="preserve"> 百鋼</t>
        </is>
      </c>
      <c r="F48" s="7" t="inlineStr">
        <is>
          <t xml:space="preserve"> 百鋼金屬工業股份有限公司</t>
        </is>
      </c>
      <c r="G48" s="8" t="n">
        <v>58479</v>
      </c>
      <c r="H48" s="8" t="n">
        <v>2924</v>
      </c>
      <c r="I48" s="8" t="n">
        <v>61403</v>
      </c>
    </row>
    <row r="49" ht="16.95" customHeight="1" s="205" thickBot="1">
      <c r="A49" s="184" t="n"/>
      <c r="B49" s="10" t="inlineStr">
        <is>
          <t>BJ18673493</t>
        </is>
      </c>
      <c r="C49" s="5" t="inlineStr">
        <is>
          <t>115/05/25</t>
        </is>
      </c>
      <c r="D49" s="9" t="inlineStr">
        <is>
          <t>22781541</t>
        </is>
      </c>
      <c r="E49" s="6" t="inlineStr">
        <is>
          <t xml:space="preserve"> 台民</t>
        </is>
      </c>
      <c r="F49" s="7" t="inlineStr">
        <is>
          <t xml:space="preserve"> 台民工業股份有限公司</t>
        </is>
      </c>
      <c r="G49" s="8" t="n">
        <v>65290</v>
      </c>
      <c r="H49" s="8" t="n">
        <v>3265</v>
      </c>
      <c r="I49" s="8" t="n">
        <v>68555</v>
      </c>
    </row>
    <row r="50" ht="16.95" customHeight="1" s="205" thickBot="1">
      <c r="A50" s="184" t="n"/>
      <c r="B50" s="10" t="inlineStr">
        <is>
          <t>BJ18673494</t>
        </is>
      </c>
      <c r="C50" s="5" t="inlineStr">
        <is>
          <t>115/05/25</t>
        </is>
      </c>
      <c r="D50" s="9" t="inlineStr">
        <is>
          <t>16904411</t>
        </is>
      </c>
      <c r="E50" s="6" t="inlineStr">
        <is>
          <t xml:space="preserve"> 冠德</t>
        </is>
      </c>
      <c r="F50" s="7" t="inlineStr">
        <is>
          <t xml:space="preserve"> 冠德熱處理有限公司</t>
        </is>
      </c>
      <c r="G50" s="8" t="n">
        <v>681945</v>
      </c>
      <c r="H50" s="8" t="n">
        <v>34097</v>
      </c>
      <c r="I50" s="8" t="n">
        <v>716042</v>
      </c>
    </row>
    <row r="51" ht="16.95" customHeight="1" s="205" thickBot="1">
      <c r="A51" s="184" t="n"/>
      <c r="B51" s="10" t="inlineStr">
        <is>
          <t>BJ18673495</t>
        </is>
      </c>
      <c r="C51" s="5" t="inlineStr">
        <is>
          <t>115/05/25</t>
        </is>
      </c>
      <c r="D51" s="9" t="inlineStr">
        <is>
          <t>53392981</t>
        </is>
      </c>
      <c r="E51" s="6" t="inlineStr">
        <is>
          <t xml:space="preserve"> 伸豐</t>
        </is>
      </c>
      <c r="F51" s="7" t="inlineStr">
        <is>
          <t xml:space="preserve"> 伸豐金屬壓延有限公司</t>
        </is>
      </c>
      <c r="G51" s="8" t="n">
        <v>339256</v>
      </c>
      <c r="H51" s="8" t="n">
        <v>16963</v>
      </c>
      <c r="I51" s="8" t="n">
        <v>356219</v>
      </c>
    </row>
    <row r="52" ht="16.95" customHeight="1" s="205" thickBot="1">
      <c r="A52" s="184" t="n"/>
      <c r="B52" s="10" t="inlineStr">
        <is>
          <t>BJ18673496</t>
        </is>
      </c>
      <c r="C52" s="5" t="inlineStr">
        <is>
          <t>115/05/25</t>
        </is>
      </c>
      <c r="D52" s="9" t="inlineStr">
        <is>
          <t>97183069</t>
        </is>
      </c>
      <c r="E52" s="6" t="inlineStr">
        <is>
          <t xml:space="preserve"> 連全興</t>
        </is>
      </c>
      <c r="F52" s="7" t="inlineStr">
        <is>
          <t xml:space="preserve"> 連全興國際有限公司</t>
        </is>
      </c>
      <c r="G52" s="8" t="n">
        <v>135651</v>
      </c>
      <c r="H52" s="8" t="n">
        <v>6783</v>
      </c>
      <c r="I52" s="8" t="n">
        <v>142434</v>
      </c>
    </row>
    <row r="53" ht="16.95" customHeight="1" s="205" thickBot="1">
      <c r="A53" s="184" t="n"/>
      <c r="B53" s="10" t="inlineStr">
        <is>
          <t>BJ18673497</t>
        </is>
      </c>
      <c r="C53" s="5" t="inlineStr">
        <is>
          <t>115/05/25</t>
        </is>
      </c>
      <c r="D53" s="9" t="inlineStr">
        <is>
          <t>86241979</t>
        </is>
      </c>
      <c r="E53" s="6" t="inlineStr">
        <is>
          <t xml:space="preserve"> 茂晟</t>
        </is>
      </c>
      <c r="F53" s="7" t="inlineStr">
        <is>
          <t xml:space="preserve"> 茂晟工業有限公司</t>
        </is>
      </c>
      <c r="G53" s="8" t="n">
        <v>58935</v>
      </c>
      <c r="H53" s="8" t="n">
        <v>2947</v>
      </c>
      <c r="I53" s="8" t="n">
        <v>61882</v>
      </c>
    </row>
    <row r="54" ht="16.95" customHeight="1" s="205" thickBot="1">
      <c r="A54" s="184" t="n"/>
      <c r="B54" s="10" t="inlineStr">
        <is>
          <t>BJ18673498</t>
        </is>
      </c>
      <c r="C54" s="5" t="inlineStr">
        <is>
          <t>115/05/25</t>
        </is>
      </c>
      <c r="D54" s="9" t="inlineStr">
        <is>
          <t>34482420</t>
        </is>
      </c>
      <c r="E54" s="6" t="inlineStr">
        <is>
          <t xml:space="preserve"> 昌平</t>
        </is>
      </c>
      <c r="F54" s="7" t="inlineStr">
        <is>
          <t xml:space="preserve"> 昌平實業股份有限公司</t>
        </is>
      </c>
      <c r="G54" s="8" t="n">
        <v>1286760</v>
      </c>
      <c r="H54" s="8" t="n">
        <v>64338</v>
      </c>
      <c r="I54" s="8" t="n">
        <v>1351098</v>
      </c>
    </row>
    <row r="55" ht="16.95" customHeight="1" s="205" thickBot="1">
      <c r="A55" s="184" t="n"/>
      <c r="B55" s="10" t="inlineStr">
        <is>
          <t>BJ18673499</t>
        </is>
      </c>
      <c r="C55" s="5" t="inlineStr">
        <is>
          <t>115/05/25</t>
        </is>
      </c>
      <c r="D55" s="9" t="inlineStr">
        <is>
          <t>86189235</t>
        </is>
      </c>
      <c r="E55" s="6" t="inlineStr">
        <is>
          <t xml:space="preserve"> 宗威</t>
        </is>
      </c>
      <c r="F55" s="7" t="inlineStr">
        <is>
          <t xml:space="preserve"> 宗威鋼鐵股份有限公司</t>
        </is>
      </c>
      <c r="G55" s="8" t="n">
        <v>52425</v>
      </c>
      <c r="H55" s="8" t="n">
        <v>2621</v>
      </c>
      <c r="I55" s="8" t="n">
        <v>55046</v>
      </c>
    </row>
    <row r="56" ht="16.95" customHeight="1" s="205" thickBot="1">
      <c r="B56" s="14" t="n"/>
      <c r="C56" s="15" t="n"/>
      <c r="D56" s="16" t="n"/>
      <c r="E56" s="17" t="inlineStr">
        <is>
          <t>合計：</t>
        </is>
      </c>
      <c r="F56" s="17" t="n"/>
      <c r="G56" s="17" t="n">
        <v>14895551</v>
      </c>
      <c r="H56" s="18" t="n">
        <v>744782</v>
      </c>
      <c r="I56" s="19" t="n">
        <v>15640333</v>
      </c>
    </row>
    <row r="57" ht="16.95" customHeight="1" s="205" thickBot="1">
      <c r="A57" s="184" t="n"/>
      <c r="B57" s="10" t="inlineStr">
        <is>
          <t>BJ18673500</t>
        </is>
      </c>
      <c r="C57" s="5" t="inlineStr">
        <is>
          <t>115/05/25</t>
        </is>
      </c>
      <c r="D57" s="9" t="inlineStr">
        <is>
          <t>22236374</t>
        </is>
      </c>
      <c r="E57" s="6" t="inlineStr">
        <is>
          <t xml:space="preserve"> 松璟</t>
        </is>
      </c>
      <c r="F57" s="7" t="inlineStr">
        <is>
          <t xml:space="preserve"> 松璟精密工業股份有限公司</t>
        </is>
      </c>
      <c r="G57" s="8" t="n">
        <v>54700</v>
      </c>
      <c r="H57" s="8" t="n">
        <v>2735</v>
      </c>
      <c r="I57" s="8" t="n">
        <v>57435</v>
      </c>
    </row>
    <row r="58" ht="16.95" customHeight="1" s="205" thickBot="1">
      <c r="A58" s="184" t="n"/>
      <c r="B58" s="10" t="inlineStr">
        <is>
          <t>BJ18673501</t>
        </is>
      </c>
      <c r="C58" s="5" t="inlineStr">
        <is>
          <t>115/05/25</t>
        </is>
      </c>
      <c r="D58" s="9" t="inlineStr">
        <is>
          <t>22279149</t>
        </is>
      </c>
      <c r="E58" s="6" t="inlineStr">
        <is>
          <t xml:space="preserve"> 高點</t>
        </is>
      </c>
      <c r="F58" s="7" t="inlineStr">
        <is>
          <t xml:space="preserve"> 高點鋼業股份有限公司</t>
        </is>
      </c>
      <c r="G58" s="8" t="n">
        <v>1212788</v>
      </c>
      <c r="H58" s="8" t="n">
        <v>60639</v>
      </c>
      <c r="I58" s="8" t="n">
        <v>1273427</v>
      </c>
    </row>
    <row r="59" ht="16.95" customHeight="1" s="205" thickBot="1">
      <c r="A59" s="184" t="n"/>
      <c r="B59" s="10" t="inlineStr">
        <is>
          <t>BJ18673502</t>
        </is>
      </c>
      <c r="C59" s="5" t="inlineStr">
        <is>
          <t>115/05/25</t>
        </is>
      </c>
      <c r="D59" s="9" t="inlineStr">
        <is>
          <t>16933371</t>
        </is>
      </c>
      <c r="E59" s="6" t="inlineStr">
        <is>
          <t xml:space="preserve"> 金展(展瑞)</t>
        </is>
      </c>
      <c r="F59" s="7" t="inlineStr">
        <is>
          <t xml:space="preserve"> 金展彈簧工業有限公司</t>
        </is>
      </c>
      <c r="G59" s="8" t="n">
        <v>125775</v>
      </c>
      <c r="H59" s="8" t="n">
        <v>6289</v>
      </c>
      <c r="I59" s="8" t="n">
        <v>132064</v>
      </c>
    </row>
    <row r="60" ht="16.95" customHeight="1" s="205" thickBot="1">
      <c r="A60" s="184" t="n"/>
      <c r="B60" s="10" t="inlineStr">
        <is>
          <t>BJ18673503</t>
        </is>
      </c>
      <c r="C60" s="5" t="inlineStr">
        <is>
          <t>115/05/25</t>
        </is>
      </c>
      <c r="D60" s="9" t="inlineStr">
        <is>
          <t>42571924</t>
        </is>
      </c>
      <c r="E60" s="6" t="inlineStr">
        <is>
          <t xml:space="preserve"> 振泰</t>
        </is>
      </c>
      <c r="F60" s="7" t="inlineStr">
        <is>
          <t xml:space="preserve"> 振泰企業有限公司</t>
        </is>
      </c>
      <c r="G60" s="8" t="n">
        <v>24751</v>
      </c>
      <c r="H60" s="8" t="n">
        <v>1238</v>
      </c>
      <c r="I60" s="8" t="n">
        <v>25989</v>
      </c>
    </row>
    <row r="61" ht="16.95" customHeight="1" s="205" thickBot="1">
      <c r="A61" s="184" t="n"/>
      <c r="B61" s="10" t="inlineStr">
        <is>
          <t>BJ18673504</t>
        </is>
      </c>
      <c r="C61" s="5" t="inlineStr">
        <is>
          <t>115/05/25</t>
        </is>
      </c>
      <c r="D61" s="9" t="inlineStr">
        <is>
          <t>36185831</t>
        </is>
      </c>
      <c r="E61" s="6" t="inlineStr">
        <is>
          <t xml:space="preserve"> 啟賀</t>
        </is>
      </c>
      <c r="F61" s="7" t="inlineStr">
        <is>
          <t xml:space="preserve"> 啟賀工業有限公司</t>
        </is>
      </c>
      <c r="G61" s="8" t="n">
        <v>212670</v>
      </c>
      <c r="H61" s="8" t="n">
        <v>10634</v>
      </c>
      <c r="I61" s="8" t="n">
        <v>223304</v>
      </c>
    </row>
    <row r="62" ht="16.95" customHeight="1" s="205" thickBot="1">
      <c r="A62" s="184" t="n"/>
      <c r="B62" s="10" t="inlineStr">
        <is>
          <t>BJ18673505</t>
        </is>
      </c>
      <c r="C62" s="5" t="inlineStr">
        <is>
          <t>115/05/25</t>
        </is>
      </c>
      <c r="D62" s="9" t="inlineStr">
        <is>
          <t>22696812</t>
        </is>
      </c>
      <c r="E62" s="6" t="inlineStr">
        <is>
          <t xml:space="preserve"> 連義(連盛)</t>
        </is>
      </c>
      <c r="F62" s="7" t="inlineStr">
        <is>
          <t xml:space="preserve"> 連義企業有限公司</t>
        </is>
      </c>
      <c r="G62" s="8" t="n">
        <v>21630</v>
      </c>
      <c r="H62" s="8" t="n">
        <v>1082</v>
      </c>
      <c r="I62" s="8" t="n">
        <v>22712</v>
      </c>
    </row>
    <row r="63" ht="16.95" customHeight="1" s="205" thickBot="1">
      <c r="A63" s="184" t="n"/>
      <c r="B63" s="10" t="inlineStr">
        <is>
          <t>BJ18673506</t>
        </is>
      </c>
      <c r="C63" s="5" t="inlineStr">
        <is>
          <t>115/05/25</t>
        </is>
      </c>
      <c r="D63" s="9" t="inlineStr">
        <is>
          <t>89871129</t>
        </is>
      </c>
      <c r="E63" s="6" t="inlineStr">
        <is>
          <t xml:space="preserve"> 鈞亘</t>
        </is>
      </c>
      <c r="F63" s="7" t="inlineStr">
        <is>
          <t xml:space="preserve"> 鈞亘鋼鐵股份有限公司</t>
        </is>
      </c>
      <c r="G63" s="8" t="n">
        <v>397438</v>
      </c>
      <c r="H63" s="8" t="n">
        <v>19872</v>
      </c>
      <c r="I63" s="8" t="n">
        <v>417310</v>
      </c>
    </row>
    <row r="64" ht="16.95" customHeight="1" s="205" thickBot="1">
      <c r="A64" s="184" t="n"/>
      <c r="B64" s="10" t="inlineStr">
        <is>
          <t>BJ18673507</t>
        </is>
      </c>
      <c r="C64" s="5" t="inlineStr">
        <is>
          <t>115/05/25</t>
        </is>
      </c>
      <c r="D64" s="9" t="inlineStr">
        <is>
          <t>53057591</t>
        </is>
      </c>
      <c r="E64" s="6" t="inlineStr">
        <is>
          <t xml:space="preserve"> 泰閤</t>
        </is>
      </c>
      <c r="F64" s="7" t="inlineStr">
        <is>
          <t xml:space="preserve"> 泰閤鋼鐵有限公司</t>
        </is>
      </c>
      <c r="G64" s="8" t="n">
        <v>46802</v>
      </c>
      <c r="H64" s="8" t="n">
        <v>2340</v>
      </c>
      <c r="I64" s="8" t="n">
        <v>49142</v>
      </c>
    </row>
    <row r="65" ht="16.95" customHeight="1" s="205" thickBot="1">
      <c r="A65" s="184" t="n"/>
      <c r="B65" s="10" t="inlineStr">
        <is>
          <t>BJ18673508</t>
        </is>
      </c>
      <c r="C65" s="5" t="inlineStr">
        <is>
          <t>115/05/25</t>
        </is>
      </c>
      <c r="D65" s="9" t="inlineStr">
        <is>
          <t>89677173</t>
        </is>
      </c>
      <c r="E65" s="6" t="inlineStr">
        <is>
          <t xml:space="preserve"> 智寶</t>
        </is>
      </c>
      <c r="F65" s="7" t="inlineStr">
        <is>
          <t xml:space="preserve"> 智寶實業有限公司</t>
        </is>
      </c>
      <c r="G65" s="8" t="n">
        <v>9075</v>
      </c>
      <c r="H65" s="8" t="n">
        <v>454</v>
      </c>
      <c r="I65" s="8" t="n">
        <v>9529</v>
      </c>
    </row>
    <row r="66" ht="16.95" customHeight="1" s="205" thickBot="1">
      <c r="A66" s="184" t="n"/>
      <c r="B66" s="10" t="inlineStr">
        <is>
          <t>BJ18673509</t>
        </is>
      </c>
      <c r="C66" s="5" t="inlineStr">
        <is>
          <t>115/05/25</t>
        </is>
      </c>
      <c r="D66" s="9" t="inlineStr">
        <is>
          <t>53213328</t>
        </is>
      </c>
      <c r="E66" s="6" t="inlineStr">
        <is>
          <t xml:space="preserve"> 創奕</t>
        </is>
      </c>
      <c r="F66" s="7" t="inlineStr">
        <is>
          <t xml:space="preserve"> 創奕金屬有限公司</t>
        </is>
      </c>
      <c r="G66" s="8" t="n">
        <v>14924</v>
      </c>
      <c r="H66" s="8" t="n">
        <v>746</v>
      </c>
      <c r="I66" s="8" t="n">
        <v>15670</v>
      </c>
    </row>
    <row r="67" ht="16.95" customHeight="1" s="205" thickBot="1">
      <c r="A67" s="184" t="n"/>
      <c r="B67" s="10" t="inlineStr">
        <is>
          <t>BJ18673510</t>
        </is>
      </c>
      <c r="C67" s="5" t="inlineStr">
        <is>
          <t>115/05/25</t>
        </is>
      </c>
      <c r="D67" s="9" t="inlineStr">
        <is>
          <t>89899750</t>
        </is>
      </c>
      <c r="E67" s="6" t="inlineStr">
        <is>
          <t xml:space="preserve"> 貿詮</t>
        </is>
      </c>
      <c r="F67" s="7" t="inlineStr">
        <is>
          <t xml:space="preserve"> 貿詮實業有限公司</t>
        </is>
      </c>
      <c r="G67" s="8" t="n">
        <v>782703</v>
      </c>
      <c r="H67" s="8" t="n">
        <v>39135</v>
      </c>
      <c r="I67" s="8" t="n">
        <v>821838</v>
      </c>
    </row>
    <row r="68" ht="16.95" customHeight="1" s="205" thickBot="1">
      <c r="A68" s="184" t="n"/>
      <c r="B68" s="10" t="inlineStr">
        <is>
          <t>BJ18673511</t>
        </is>
      </c>
      <c r="C68" s="5" t="inlineStr">
        <is>
          <t>115/05/25</t>
        </is>
      </c>
      <c r="D68" s="9" t="inlineStr">
        <is>
          <t>53850389</t>
        </is>
      </c>
      <c r="E68" s="6" t="inlineStr">
        <is>
          <t xml:space="preserve"> 傑誠</t>
        </is>
      </c>
      <c r="F68" s="7" t="inlineStr">
        <is>
          <t xml:space="preserve"> 傑誠有限公司</t>
        </is>
      </c>
      <c r="G68" s="8" t="n">
        <v>171742</v>
      </c>
      <c r="H68" s="8" t="n">
        <v>8587</v>
      </c>
      <c r="I68" s="8" t="n">
        <v>180329</v>
      </c>
    </row>
    <row r="69" ht="16.95" customHeight="1" s="205" thickBot="1">
      <c r="A69" s="184" t="n"/>
      <c r="B69" s="10" t="inlineStr">
        <is>
          <t>BJ18673512</t>
        </is>
      </c>
      <c r="C69" s="5" t="inlineStr">
        <is>
          <t>115/05/25</t>
        </is>
      </c>
      <c r="D69" s="9" t="inlineStr">
        <is>
          <t>58506816</t>
        </is>
      </c>
      <c r="E69" s="6" t="inlineStr">
        <is>
          <t xml:space="preserve"> 順德(朝新)</t>
        </is>
      </c>
      <c r="F69" s="7" t="inlineStr">
        <is>
          <t xml:space="preserve"> 順德工業股份有限公司</t>
        </is>
      </c>
      <c r="G69" s="8" t="n">
        <v>36800</v>
      </c>
      <c r="H69" s="8" t="n">
        <v>1840</v>
      </c>
      <c r="I69" s="8" t="n">
        <v>38640</v>
      </c>
    </row>
    <row r="70" ht="16.95" customHeight="1" s="205" thickBot="1">
      <c r="A70" s="184" t="n"/>
      <c r="B70" s="10" t="inlineStr">
        <is>
          <t>BJ18673513</t>
        </is>
      </c>
      <c r="C70" s="5" t="inlineStr">
        <is>
          <t>115/05/25</t>
        </is>
      </c>
      <c r="D70" s="9" t="inlineStr">
        <is>
          <t>22315356</t>
        </is>
      </c>
      <c r="E70" s="6" t="inlineStr">
        <is>
          <t xml:space="preserve"> 煌順</t>
        </is>
      </c>
      <c r="F70" s="7" t="inlineStr">
        <is>
          <t xml:space="preserve"> 煌順金屬企業有限公司</t>
        </is>
      </c>
      <c r="G70" s="8" t="n">
        <v>319100</v>
      </c>
      <c r="H70" s="8" t="n">
        <v>15955</v>
      </c>
      <c r="I70" s="8" t="n">
        <v>335055</v>
      </c>
    </row>
    <row r="71" ht="16.95" customHeight="1" s="205" thickBot="1">
      <c r="A71" s="184" t="n"/>
      <c r="B71" s="10" t="inlineStr">
        <is>
          <t>BJ18673514</t>
        </is>
      </c>
      <c r="C71" s="5" t="inlineStr">
        <is>
          <t>115/05/25</t>
        </is>
      </c>
      <c r="D71" s="9" t="inlineStr">
        <is>
          <t>22585288</t>
        </is>
      </c>
      <c r="E71" s="6" t="inlineStr">
        <is>
          <t xml:space="preserve"> 煒承</t>
        </is>
      </c>
      <c r="F71" s="7" t="inlineStr">
        <is>
          <t xml:space="preserve"> 煒承精密工業股份有限公司</t>
        </is>
      </c>
      <c r="G71" s="8" t="n">
        <v>275837</v>
      </c>
      <c r="H71" s="8" t="n">
        <v>13792</v>
      </c>
      <c r="I71" s="8" t="n">
        <v>289629</v>
      </c>
    </row>
    <row r="72" ht="16.95" customHeight="1" s="205" thickBot="1">
      <c r="A72" s="184" t="n"/>
      <c r="B72" s="10" t="inlineStr">
        <is>
          <t>BJ18673515</t>
        </is>
      </c>
      <c r="C72" s="5" t="inlineStr">
        <is>
          <t>115/05/27</t>
        </is>
      </c>
      <c r="D72" s="9" t="inlineStr">
        <is>
          <t>24539212</t>
        </is>
      </c>
      <c r="E72" s="6" t="inlineStr">
        <is>
          <t xml:space="preserve"> 名皇</t>
        </is>
      </c>
      <c r="F72" s="7" t="inlineStr">
        <is>
          <t xml:space="preserve"> 名皇金屬工業股份有限公司</t>
        </is>
      </c>
      <c r="G72" s="8" t="n">
        <v>107665</v>
      </c>
      <c r="H72" s="8" t="n">
        <v>5383</v>
      </c>
      <c r="I72" s="8" t="n">
        <v>113048</v>
      </c>
    </row>
    <row r="73" ht="16.95" customHeight="1" s="205" thickBot="1">
      <c r="A73" s="184" t="n"/>
      <c r="B73" s="10" t="inlineStr">
        <is>
          <t>BJ18673516</t>
        </is>
      </c>
      <c r="C73" s="5" t="inlineStr">
        <is>
          <t>115/05/27</t>
        </is>
      </c>
      <c r="D73" s="9" t="inlineStr">
        <is>
          <t>54247439</t>
        </is>
      </c>
      <c r="E73" s="6" t="inlineStr">
        <is>
          <t xml:space="preserve"> 誠偉</t>
        </is>
      </c>
      <c r="F73" s="7" t="inlineStr">
        <is>
          <t xml:space="preserve"> 誠偉鋼鐵科技有限公司</t>
        </is>
      </c>
      <c r="G73" s="8" t="n">
        <v>59860</v>
      </c>
      <c r="H73" s="8" t="n">
        <v>2993</v>
      </c>
      <c r="I73" s="8" t="n">
        <v>62853</v>
      </c>
    </row>
    <row r="74" ht="16.95" customHeight="1" s="205" thickBot="1">
      <c r="A74" s="184" t="n"/>
      <c r="B74" s="10" t="inlineStr">
        <is>
          <t>BJ18673517</t>
        </is>
      </c>
      <c r="C74" s="5" t="inlineStr">
        <is>
          <t>115/05/27</t>
        </is>
      </c>
      <c r="D74" s="9" t="inlineStr">
        <is>
          <t>06012812</t>
        </is>
      </c>
      <c r="E74" s="6" t="inlineStr">
        <is>
          <t xml:space="preserve"> 誠奕</t>
        </is>
      </c>
      <c r="F74" s="7" t="inlineStr">
        <is>
          <t xml:space="preserve"> 誠奕金屬製品廠</t>
        </is>
      </c>
      <c r="G74" s="8" t="n">
        <v>46801</v>
      </c>
      <c r="H74" s="8" t="n">
        <v>2340</v>
      </c>
      <c r="I74" s="8" t="n">
        <v>49141</v>
      </c>
    </row>
    <row r="75" ht="16.95" customHeight="1" s="205" thickBot="1">
      <c r="A75" s="184" t="n"/>
      <c r="B75" s="10" t="inlineStr">
        <is>
          <t>BJ18673518</t>
        </is>
      </c>
      <c r="C75" s="5" t="inlineStr">
        <is>
          <t>115/05/27</t>
        </is>
      </c>
      <c r="D75" s="9" t="inlineStr">
        <is>
          <t>84881252</t>
        </is>
      </c>
      <c r="E75" s="6" t="inlineStr">
        <is>
          <t xml:space="preserve"> 燁村</t>
        </is>
      </c>
      <c r="F75" s="7" t="inlineStr">
        <is>
          <t xml:space="preserve"> 燁村鋼鐵股份有限公司</t>
        </is>
      </c>
      <c r="G75" s="8" t="n">
        <v>166560</v>
      </c>
      <c r="H75" s="8" t="n">
        <v>8328</v>
      </c>
      <c r="I75" s="8" t="n">
        <v>174888</v>
      </c>
    </row>
    <row r="76" ht="16.95" customHeight="1" s="205" thickBot="1">
      <c r="A76" s="184" t="n"/>
      <c r="B76" s="10" t="inlineStr">
        <is>
          <t>BJ18673519</t>
        </is>
      </c>
      <c r="C76" s="5" t="inlineStr">
        <is>
          <t>115/05/27</t>
        </is>
      </c>
      <c r="D76" s="9" t="inlineStr">
        <is>
          <t>97401500</t>
        </is>
      </c>
      <c r="E76" s="6" t="inlineStr">
        <is>
          <t xml:space="preserve"> 越華</t>
        </is>
      </c>
      <c r="F76" s="7" t="inlineStr">
        <is>
          <t xml:space="preserve"> 越華全球貿易開發股份有限公司</t>
        </is>
      </c>
      <c r="G76" s="8" t="n">
        <v>29463</v>
      </c>
      <c r="H76" s="8" t="n">
        <v>1473</v>
      </c>
      <c r="I76" s="8" t="n">
        <v>30936</v>
      </c>
    </row>
    <row r="77" ht="16.95" customHeight="1" s="205" thickBot="1">
      <c r="A77" s="184" t="n"/>
      <c r="B77" s="10" t="inlineStr">
        <is>
          <t>BJ18673520</t>
        </is>
      </c>
      <c r="C77" s="5" t="inlineStr">
        <is>
          <t>115/05/27</t>
        </is>
      </c>
      <c r="D77" s="9" t="inlineStr">
        <is>
          <t>28893733</t>
        </is>
      </c>
      <c r="E77" s="6" t="inlineStr">
        <is>
          <t xml:space="preserve"> 廣州</t>
        </is>
      </c>
      <c r="F77" s="7" t="inlineStr">
        <is>
          <t xml:space="preserve"> 廣州企業有限公司</t>
        </is>
      </c>
      <c r="G77" s="8" t="n">
        <v>33168</v>
      </c>
      <c r="H77" s="8" t="n">
        <v>1658</v>
      </c>
      <c r="I77" s="8" t="n">
        <v>34826</v>
      </c>
    </row>
    <row r="78" ht="16.95" customHeight="1" s="205" thickBot="1">
      <c r="A78" s="184" t="n"/>
      <c r="B78" s="10" t="inlineStr">
        <is>
          <t>BJ18673521</t>
        </is>
      </c>
      <c r="C78" s="5" t="inlineStr">
        <is>
          <t>115/05/27</t>
        </is>
      </c>
      <c r="D78" s="9" t="inlineStr">
        <is>
          <t>27370899</t>
        </is>
      </c>
      <c r="E78" s="6" t="inlineStr">
        <is>
          <t xml:space="preserve"> 萬錡</t>
        </is>
      </c>
      <c r="F78" s="7" t="inlineStr">
        <is>
          <t xml:space="preserve"> 萬錡鋼鐵有限公司</t>
        </is>
      </c>
      <c r="G78" s="8" t="n">
        <v>43621</v>
      </c>
      <c r="H78" s="8" t="n">
        <v>2181</v>
      </c>
      <c r="I78" s="8" t="n">
        <v>45802</v>
      </c>
    </row>
    <row r="79" ht="16.95" customHeight="1" s="205" thickBot="1">
      <c r="A79" s="184" t="n"/>
      <c r="B79" s="10" t="inlineStr">
        <is>
          <t>BJ18673522</t>
        </is>
      </c>
      <c r="C79" s="5" t="inlineStr">
        <is>
          <t>115/05/27</t>
        </is>
      </c>
      <c r="D79" s="9" t="inlineStr">
        <is>
          <t>59013017</t>
        </is>
      </c>
      <c r="E79" s="6" t="inlineStr">
        <is>
          <t xml:space="preserve"> 興隆</t>
        </is>
      </c>
      <c r="F79" s="7" t="inlineStr">
        <is>
          <t xml:space="preserve"> 興隆工業社</t>
        </is>
      </c>
      <c r="G79" s="8" t="n">
        <v>34592</v>
      </c>
      <c r="H79" s="8" t="n">
        <v>1730</v>
      </c>
      <c r="I79" s="8" t="n">
        <v>36322</v>
      </c>
    </row>
    <row r="80" ht="16.95" customHeight="1" s="205" thickBot="1">
      <c r="A80" s="184" t="n"/>
      <c r="B80" s="10" t="inlineStr">
        <is>
          <t>BJ18673523</t>
        </is>
      </c>
      <c r="C80" s="5" t="inlineStr">
        <is>
          <t>115/05/27</t>
        </is>
      </c>
      <c r="D80" s="9" t="inlineStr">
        <is>
          <t>89646209</t>
        </is>
      </c>
      <c r="E80" s="6" t="inlineStr">
        <is>
          <t xml:space="preserve"> 鑫銅</t>
        </is>
      </c>
      <c r="F80" s="7" t="inlineStr">
        <is>
          <t xml:space="preserve"> 鑫銅有限公司</t>
        </is>
      </c>
      <c r="G80" s="8" t="n">
        <v>105980</v>
      </c>
      <c r="H80" s="8" t="n">
        <v>5299</v>
      </c>
      <c r="I80" s="8" t="n">
        <v>111279</v>
      </c>
    </row>
    <row r="81" ht="16.95" customHeight="1" s="205" thickBot="1">
      <c r="A81" s="184" t="n"/>
      <c r="B81" s="10" t="inlineStr">
        <is>
          <t>BJ18673524</t>
        </is>
      </c>
      <c r="C81" s="5" t="inlineStr">
        <is>
          <t>115/05/27</t>
        </is>
      </c>
      <c r="D81" s="9" t="inlineStr">
        <is>
          <t>11529802</t>
        </is>
      </c>
      <c r="E81" s="6" t="inlineStr">
        <is>
          <t xml:space="preserve"> 春帶</t>
        </is>
      </c>
      <c r="F81" s="7" t="inlineStr">
        <is>
          <t xml:space="preserve"> 春源鋼鐵工業股份有限公司</t>
        </is>
      </c>
      <c r="G81" s="8" t="n">
        <v>136756</v>
      </c>
      <c r="H81" s="8" t="n">
        <v>6838</v>
      </c>
      <c r="I81" s="8" t="n">
        <v>143594</v>
      </c>
    </row>
    <row r="82" ht="16.95" customHeight="1" s="205" thickBot="1">
      <c r="A82" s="184" t="n"/>
      <c r="B82" s="10" t="inlineStr">
        <is>
          <t>BJ18673525</t>
        </is>
      </c>
      <c r="C82" s="5" t="inlineStr">
        <is>
          <t>115/05/27</t>
        </is>
      </c>
      <c r="D82" s="9" t="inlineStr">
        <is>
          <t>11529802</t>
        </is>
      </c>
      <c r="E82" s="6" t="inlineStr">
        <is>
          <t xml:space="preserve"> 春南</t>
        </is>
      </c>
      <c r="F82" s="7" t="inlineStr">
        <is>
          <t xml:space="preserve"> 春源鋼鐵工業股份有限公司</t>
        </is>
      </c>
      <c r="G82" s="8" t="n">
        <v>17501</v>
      </c>
      <c r="H82" s="8" t="n">
        <v>875</v>
      </c>
      <c r="I82" s="8" t="n">
        <v>18376</v>
      </c>
    </row>
    <row r="83" ht="16.95" customHeight="1" s="205" thickBot="1">
      <c r="A83" s="184" t="n"/>
      <c r="B83" s="10" t="inlineStr">
        <is>
          <t>BJ18673526</t>
        </is>
      </c>
      <c r="C83" s="5" t="inlineStr">
        <is>
          <t>115/05/27</t>
        </is>
      </c>
      <c r="D83" s="9" t="inlineStr">
        <is>
          <t>11529802</t>
        </is>
      </c>
      <c r="E83" s="6" t="inlineStr">
        <is>
          <t xml:space="preserve"> 春土直銷</t>
        </is>
      </c>
      <c r="F83" s="7" t="inlineStr">
        <is>
          <t xml:space="preserve"> 春源鋼鐵工業股份有限公司</t>
        </is>
      </c>
      <c r="G83" s="8" t="n">
        <v>3000</v>
      </c>
      <c r="H83" s="8" t="n">
        <v>150</v>
      </c>
      <c r="I83" s="8" t="n">
        <v>3150</v>
      </c>
    </row>
    <row r="84" ht="16.95" customHeight="1" s="205" thickBot="1">
      <c r="A84" s="184" t="n"/>
      <c r="B84" s="10" t="inlineStr">
        <is>
          <t>BJ18673527</t>
        </is>
      </c>
      <c r="C84" s="5" t="inlineStr">
        <is>
          <t>115/05/27</t>
        </is>
      </c>
      <c r="D84" s="9" t="inlineStr">
        <is>
          <t>16571820</t>
        </is>
      </c>
      <c r="E84" s="6" t="inlineStr">
        <is>
          <t xml:space="preserve"> 銅熊立</t>
        </is>
      </c>
      <c r="F84" s="7" t="inlineStr">
        <is>
          <t xml:space="preserve"> 銅熊立有限公司</t>
        </is>
      </c>
      <c r="G84" s="8" t="n">
        <v>56016</v>
      </c>
      <c r="H84" s="8" t="n">
        <v>2801</v>
      </c>
      <c r="I84" s="8" t="n">
        <v>58817</v>
      </c>
    </row>
    <row r="85" ht="16.95" customHeight="1" s="205" thickBot="1">
      <c r="A85" s="184" t="n"/>
      <c r="B85" s="10" t="inlineStr">
        <is>
          <t>BJ18673528</t>
        </is>
      </c>
      <c r="C85" s="5" t="inlineStr">
        <is>
          <t>115/05/27</t>
        </is>
      </c>
      <c r="D85" s="9" t="inlineStr">
        <is>
          <t>35997142</t>
        </is>
      </c>
      <c r="E85" s="6" t="inlineStr">
        <is>
          <t xml:space="preserve"> 崧筌</t>
        </is>
      </c>
      <c r="F85" s="7" t="inlineStr">
        <is>
          <t xml:space="preserve"> 崧筌扣環工業股份有限公司</t>
        </is>
      </c>
      <c r="G85" s="8" t="n">
        <v>86970</v>
      </c>
      <c r="H85" s="8" t="n">
        <v>4349</v>
      </c>
      <c r="I85" s="8" t="n">
        <v>91319</v>
      </c>
    </row>
    <row r="86" ht="16.95" customHeight="1" s="205" thickBot="1">
      <c r="A86" s="184" t="n"/>
      <c r="B86" s="10" t="inlineStr">
        <is>
          <t>BJ18673529</t>
        </is>
      </c>
      <c r="C86" s="5" t="inlineStr">
        <is>
          <t>115/05/27</t>
        </is>
      </c>
      <c r="D86" s="9" t="inlineStr">
        <is>
          <t>35997142</t>
        </is>
      </c>
      <c r="E86" s="6" t="inlineStr">
        <is>
          <t xml:space="preserve"> 崧筌</t>
        </is>
      </c>
      <c r="F86" s="7" t="inlineStr">
        <is>
          <t xml:space="preserve"> 崧筌扣環工業股份有限公司</t>
        </is>
      </c>
      <c r="G86" s="8" t="n">
        <v>9966</v>
      </c>
      <c r="H86" s="8" t="n">
        <v>498</v>
      </c>
      <c r="I86" s="8" t="n">
        <v>10464</v>
      </c>
    </row>
    <row r="87" ht="16.95" customHeight="1" s="205" thickBot="1">
      <c r="A87" s="184" t="n"/>
      <c r="B87" s="10" t="inlineStr">
        <is>
          <t>BJ18673530</t>
        </is>
      </c>
      <c r="C87" s="5" t="inlineStr">
        <is>
          <t>115/05/27</t>
        </is>
      </c>
      <c r="D87" s="9" t="inlineStr">
        <is>
          <t>16366813</t>
        </is>
      </c>
      <c r="E87" s="6" t="inlineStr">
        <is>
          <t xml:space="preserve"> 碩隆</t>
        </is>
      </c>
      <c r="F87" s="7" t="inlineStr">
        <is>
          <t xml:space="preserve"> 軍翰有限公司</t>
        </is>
      </c>
      <c r="G87" s="8" t="n">
        <v>877533</v>
      </c>
      <c r="H87" s="8" t="n">
        <v>43877</v>
      </c>
      <c r="I87" s="8" t="n">
        <v>921410</v>
      </c>
    </row>
    <row r="88" ht="16.95" customHeight="1" s="205" thickBot="1">
      <c r="A88" s="184" t="n"/>
      <c r="B88" s="10" t="inlineStr">
        <is>
          <t>BJ18673531</t>
        </is>
      </c>
      <c r="C88" s="5" t="inlineStr">
        <is>
          <t>115/05/27</t>
        </is>
      </c>
      <c r="D88" s="9" t="inlineStr">
        <is>
          <t>16366813</t>
        </is>
      </c>
      <c r="E88" s="6" t="inlineStr">
        <is>
          <t xml:space="preserve"> 碩隆</t>
        </is>
      </c>
      <c r="F88" s="7" t="inlineStr">
        <is>
          <t xml:space="preserve"> 軍翰有限公司</t>
        </is>
      </c>
      <c r="G88" s="8" t="n">
        <v>35588</v>
      </c>
      <c r="H88" s="8" t="n">
        <v>1779</v>
      </c>
      <c r="I88" s="8" t="n">
        <v>37367</v>
      </c>
    </row>
    <row r="89" ht="16.95" customHeight="1" s="205" thickBot="1">
      <c r="A89" s="184" t="n"/>
      <c r="B89" s="10" t="inlineStr">
        <is>
          <t>BJ18673532</t>
        </is>
      </c>
      <c r="C89" s="5" t="inlineStr">
        <is>
          <t>115/05/27</t>
        </is>
      </c>
      <c r="D89" s="9" t="inlineStr">
        <is>
          <t>16366813</t>
        </is>
      </c>
      <c r="E89" s="6" t="inlineStr">
        <is>
          <t xml:space="preserve"> 軍翰</t>
        </is>
      </c>
      <c r="F89" s="7" t="inlineStr">
        <is>
          <t xml:space="preserve"> 軍翰有限公司</t>
        </is>
      </c>
      <c r="G89" s="8" t="n">
        <v>2170000</v>
      </c>
      <c r="H89" s="8" t="n">
        <v>108500</v>
      </c>
      <c r="I89" s="8" t="n">
        <v>2278500</v>
      </c>
    </row>
    <row r="90" ht="16.95" customHeight="1" s="205" thickBot="1">
      <c r="B90" s="14" t="n"/>
      <c r="C90" s="15" t="n"/>
      <c r="D90" s="16" t="n"/>
      <c r="E90" s="17" t="inlineStr">
        <is>
          <t>合計：</t>
        </is>
      </c>
      <c r="F90" s="17" t="n"/>
      <c r="G90" s="17" t="n">
        <v>7727775</v>
      </c>
      <c r="H90" s="18" t="n">
        <v>386390</v>
      </c>
      <c r="I90" s="19" t="n">
        <v>8114165</v>
      </c>
    </row>
    <row r="91">
      <c r="B91" s="22" t="n"/>
      <c r="C91" s="22" t="n"/>
      <c r="D91" s="23" t="n"/>
      <c r="E91" s="22" t="n"/>
      <c r="F91" s="22" t="n"/>
      <c r="G91" s="22" t="n"/>
      <c r="H91" s="22" t="n"/>
      <c r="I91" s="22" t="n"/>
    </row>
  </sheetData>
  <mergeCells count="4">
    <mergeCell ref="B3:I3"/>
    <mergeCell ref="G4:I4"/>
    <mergeCell ref="B2:I2"/>
    <mergeCell ref="B4:E4"/>
  </mergeCells>
  <pageMargins left="0" right="0" top="0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2010-07-20T09:06:26Z</dcterms:created>
  <dcterms:modified xmlns:dcterms="http://purl.org/dc/terms/" xmlns:xsi="http://www.w3.org/2001/XMLSchema-instance" xsi:type="dcterms:W3CDTF">2026-07-08T08:36:09Z</dcterms:modified>
  <cp:lastModifiedBy>語葳 吳</cp:lastModifiedBy>
  <cp:lastPrinted>2013-07-09T02:14:31Z</cp:lastPrinted>
</cp:coreProperties>
</file>