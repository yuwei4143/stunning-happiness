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(1)" sheetId="1" state="visible" r:id="rId1"/>
    <sheet name="2026(2)" sheetId="2" state="visible" r:id="rId2"/>
    <sheet name="2026(3)" sheetId="3" state="visible" r:id="rId3"/>
    <sheet name="2026(4)" sheetId="4" state="visible" r:id="rId4"/>
    <sheet name="2026(5)" sheetId="5" state="visible" r:id="rId5"/>
    <sheet name="2026(6)" sheetId="6" state="visible" r:id="rId6"/>
    <sheet name="2026(7)" sheetId="7" state="visible" r:id="rId7"/>
    <sheet name="2026(8)" sheetId="8" state="visible" r:id="rId8"/>
    <sheet name="2026(9)" sheetId="9" state="visible" r:id="rId9"/>
    <sheet name="2026(10)" sheetId="10" state="visible" r:id="rId10"/>
    <sheet name="2026(11)" sheetId="11" state="visible" r:id="rId11"/>
    <sheet name="2026(1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&quot;$&quot;* #,##0_-;\-&quot;$&quot;* #,##0_-;_-&quot;$&quot;* &quot;-&quot;_-;_-@_-"/>
    <numFmt numFmtId="165" formatCode="[$-800404]e/m/d;@"/>
    <numFmt numFmtId="166" formatCode="yyyy-mm-dd h:mm:ss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表1" displayName="表1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表1[[#This Row],[支出]]-表1[[#This Row],[提前扣款]]</calculatedColumnFormula>
    </tableColumn>
    <tableColumn id="9" name="應付餘額">
      <calculatedColumnFormula>表1[[#This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2.xml><?xml version="1.0" encoding="utf-8"?>
<table xmlns="http://schemas.openxmlformats.org/spreadsheetml/2006/main" id="2" name="表2" displayName="表2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表2[[#This Row],[支出]]-表2[[#This Row],[提前扣款]]</calculatedColumnFormula>
    </tableColumn>
    <tableColumn id="9" name="應付餘額">
      <calculatedColumnFormula>表2[[#This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3.xml><?xml version="1.0" encoding="utf-8"?>
<table xmlns="http://schemas.openxmlformats.org/spreadsheetml/2006/main" id="3" name="表3" displayName="表3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表3[[#This Row],[支出]]-表3[[#This Row],[提前扣款]]</calculatedColumnFormula>
    </tableColumn>
    <tableColumn id="9" name="應付餘額">
      <calculatedColumnFormula>表3[[#This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4.xml><?xml version="1.0" encoding="utf-8"?>
<table xmlns="http://schemas.openxmlformats.org/spreadsheetml/2006/main" id="4" name="表4" displayName="表4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表4[[#This Row],[支出]]-表4[[#This Row],[提前扣款]]</calculatedColumnFormula>
    </tableColumn>
    <tableColumn id="9" name="應付餘額">
      <calculatedColumnFormula>表4[[#This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5.xml><?xml version="1.0" encoding="utf-8"?>
<table xmlns="http://schemas.openxmlformats.org/spreadsheetml/2006/main" id="5" name="表5" displayName="表5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表5[[#This Row],[支出]]-表5[[#This Row],[提前扣款]]</calculatedColumnFormula>
    </tableColumn>
    <tableColumn id="9" name="應付餘額">
      <calculatedColumnFormula>表5[[#This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6.xml><?xml version="1.0" encoding="utf-8"?>
<table xmlns="http://schemas.openxmlformats.org/spreadsheetml/2006/main" id="6" name="表6" displayName="表6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表6[[#This Row],[支出]]-表6[[#This Row],[提前扣款]]</calculatedColumnFormula>
    </tableColumn>
    <tableColumn id="9" name="應付餘額">
      <calculatedColumnFormula>表6[[#This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7.xml><?xml version="1.0" encoding="utf-8"?>
<table xmlns="http://schemas.openxmlformats.org/spreadsheetml/2006/main" id="7" name="表7" displayName="表7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表7[[#This Row],[支出]]-表7[[#This Row],[提前扣款]]</calculatedColumnFormula>
    </tableColumn>
    <tableColumn id="9" name="應付餘額">
      <calculatedColumnFormula>表7[[#This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8.xml><?xml version="1.0" encoding="utf-8"?>
<table xmlns="http://schemas.openxmlformats.org/spreadsheetml/2006/main" id="8" name="表8" displayName="表8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表8[[#This Row],[支出]]-表8[[#This Row],[提前扣款]]</calculatedColumnFormula>
    </tableColumn>
    <tableColumn id="9" name="應付餘額">
      <calculatedColumnFormula>表8[[#This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9.xml><?xml version="1.0" encoding="utf-8"?>
<table xmlns="http://schemas.openxmlformats.org/spreadsheetml/2006/main" id="9" name="表9" displayName="表9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表9[[#This Row],[支出]]-表9[[#This Row],[提前扣款]]</calculatedColumnFormula>
    </tableColumn>
    <tableColumn id="9" name="應付餘額">
      <calculatedColumnFormula>表9[[#This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10.xml><?xml version="1.0" encoding="utf-8"?>
<table xmlns="http://schemas.openxmlformats.org/spreadsheetml/2006/main" id="10" name="表10" displayName="表10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表10[[#This Row],[支出]]-表10[[#This Row],[提前扣款]]</calculatedColumnFormula>
    </tableColumn>
    <tableColumn id="9" name="應付餘額">
      <calculatedColumnFormula>表10[[#This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11.xml><?xml version="1.0" encoding="utf-8"?>
<table xmlns="http://schemas.openxmlformats.org/spreadsheetml/2006/main" id="11" name="表11" displayName="表11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表11[[#This Row],[支出]]-表11[[#This Row],[提前扣款]]</calculatedColumnFormula>
    </tableColumn>
    <tableColumn id="9" name="應付餘額">
      <calculatedColumnFormula>表11[[#This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ables/table12.xml><?xml version="1.0" encoding="utf-8"?>
<table xmlns="http://schemas.openxmlformats.org/spreadsheetml/2006/main" id="12" name="表12" displayName="表12" ref="A1:M46" headerRowCount="1">
  <tableColumns count="13">
    <tableColumn id="1" name="序"/>
    <tableColumn id="2" name="星期"/>
    <tableColumn id="3" name="日期"/>
    <tableColumn id="4" name="銀行"/>
    <tableColumn id="5" name="摘要"/>
    <tableColumn id="6" name="支出"/>
    <tableColumn id="7" name="提前扣款"/>
    <tableColumn id="8" name="實際應付">
      <calculatedColumnFormula>表12[[#This Row],[支出]]-表12[[#This Row],[提前扣款]]</calculatedColumnFormula>
    </tableColumn>
    <tableColumn id="9" name="應付餘額">
      <calculatedColumnFormula>表12[[#This Row],[實際應付]]</calculatedColumnFormula>
    </tableColumn>
    <tableColumn id="10" name="收入"/>
    <tableColumn id="11" name="未入餘額"/>
    <tableColumn id="12" name="目前現金"/>
    <tableColumn id="13" name="備註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3000000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表1[[#This Row],[支出]]-表1[[#This Row],[提前扣款]]</f>
        <v/>
      </c>
      <c r="I2" s="3">
        <f>表1[[#This Row],[實際應付]]</f>
        <v/>
      </c>
      <c r="J2" s="3" t="n"/>
      <c r="K2" s="3" t="n"/>
      <c r="L2" s="3">
        <f>$P$1+表1[[#This Row],[未入餘額]]-表1[[#This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表1[[#This Row],[支出]]-表1[[#This Row],[提前扣款]]</f>
        <v/>
      </c>
      <c r="I3" s="3">
        <f>表1[[#This Row],[實際應付]]</f>
        <v/>
      </c>
      <c r="J3" s="3" t="n"/>
      <c r="K3" s="3" t="n"/>
      <c r="L3" s="3">
        <f>L2+表1[[#This Row],[未入餘額]]-表1[[#This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表1[[#This Row],[支出]]-表1[[#This Row],[提前扣款]]</f>
        <v/>
      </c>
      <c r="I4" s="3">
        <f>表1[[#This Row],[實際應付]]</f>
        <v/>
      </c>
      <c r="J4" s="3" t="n"/>
      <c r="K4" s="3" t="n"/>
      <c r="L4" s="3">
        <f>L3+表1[[#This Row],[未入餘額]]-表1[[#This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表1[[#This Row],[支出]]-表1[[#This Row],[提前扣款]]</f>
        <v/>
      </c>
      <c r="I5" s="3">
        <f>表1[[#This Row],[實際應付]]</f>
        <v/>
      </c>
      <c r="J5" s="3" t="n"/>
      <c r="K5" s="3" t="n"/>
      <c r="L5" s="3">
        <f>L4+表1[[#This Row],[未入餘額]]-表1[[#This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表1[[#This Row],[支出]]-表1[[#This Row],[提前扣款]]</f>
        <v/>
      </c>
      <c r="I6" s="3">
        <f>表1[[#This Row],[實際應付]]</f>
        <v/>
      </c>
      <c r="J6" s="3" t="n"/>
      <c r="K6" s="3" t="n"/>
      <c r="L6" s="3">
        <f>L5+表1[[#This Row],[未入餘額]]-表1[[#This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表1[[#This Row],[支出]]-表1[[#This Row],[提前扣款]]</f>
        <v/>
      </c>
      <c r="I7" s="3">
        <f>表1[[#This Row],[實際應付]]</f>
        <v/>
      </c>
      <c r="J7" s="3" t="n"/>
      <c r="K7" s="3" t="n"/>
      <c r="L7" s="3">
        <f>L6+表1[[#This Row],[未入餘額]]-表1[[#This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表1[[#This Row],[支出]]-表1[[#This Row],[提前扣款]]</f>
        <v/>
      </c>
      <c r="I8" s="3">
        <f>表1[[#This Row],[實際應付]]</f>
        <v/>
      </c>
      <c r="J8" s="3" t="n"/>
      <c r="K8" s="3" t="n"/>
      <c r="L8" s="3">
        <f>L7+表1[[#This Row],[未入餘額]]-表1[[#This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表1[[#This Row],[支出]]-表1[[#This Row],[提前扣款]]</f>
        <v/>
      </c>
      <c r="I9" s="3">
        <f>表1[[#This Row],[實際應付]]</f>
        <v/>
      </c>
      <c r="J9" s="3" t="n"/>
      <c r="K9" s="3" t="n"/>
      <c r="L9" s="3">
        <f>L8+表1[[#This Row],[未入餘額]]-表1[[#This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表1[[#This Row],[支出]]-表1[[#This Row],[提前扣款]]</f>
        <v/>
      </c>
      <c r="I10" s="3">
        <f>表1[[#This Row],[實際應付]]</f>
        <v/>
      </c>
      <c r="J10" s="3" t="n"/>
      <c r="K10" s="3" t="n"/>
      <c r="L10" s="3">
        <f>L9+表1[[#This Row],[未入餘額]]-表1[[#This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表1[[#This Row],[支出]]-表1[[#This Row],[提前扣款]]</f>
        <v/>
      </c>
      <c r="I11" s="3">
        <f>表1[[#This Row],[實際應付]]</f>
        <v/>
      </c>
      <c r="J11" s="3" t="n"/>
      <c r="K11" s="3" t="n"/>
      <c r="L11" s="3">
        <f>L10+表1[[#This Row],[未入餘額]]-表1[[#This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表1[[#This Row],[支出]]-表1[[#This Row],[提前扣款]]</f>
        <v/>
      </c>
      <c r="I12" s="3">
        <f>表1[[#This Row],[實際應付]]</f>
        <v/>
      </c>
      <c r="J12" s="3" t="n"/>
      <c r="K12" s="3" t="n"/>
      <c r="L12" s="3">
        <f>L11+表1[[#This Row],[未入餘額]]-表1[[#This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表1[[#This Row],[支出]]-表1[[#This Row],[提前扣款]]</f>
        <v/>
      </c>
      <c r="I13" s="3">
        <f>表1[[#This Row],[實際應付]]</f>
        <v/>
      </c>
      <c r="J13" s="3" t="n"/>
      <c r="K13" s="3" t="n"/>
      <c r="L13" s="3">
        <f>L12+表1[[#This Row],[未入餘額]]-表1[[#This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表1[[#This Row],[支出]]-表1[[#This Row],[提前扣款]]</f>
        <v/>
      </c>
      <c r="I14" s="3">
        <f>表1[[#This Row],[實際應付]]</f>
        <v/>
      </c>
      <c r="J14" s="3" t="n"/>
      <c r="K14" s="3" t="n"/>
      <c r="L14" s="3">
        <f>L13+表1[[#This Row],[未入餘額]]-表1[[#This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表1[[#This Row],[支出]]-表1[[#This Row],[提前扣款]]</f>
        <v/>
      </c>
      <c r="I15" s="3">
        <f>表1[[#This Row],[實際應付]]</f>
        <v/>
      </c>
      <c r="J15" s="3" t="n"/>
      <c r="K15" s="3" t="n"/>
      <c r="L15" s="3">
        <f>L14+表1[[#This Row],[未入餘額]]-表1[[#This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表1[[#This Row],[支出]]-表1[[#This Row],[提前扣款]]</f>
        <v/>
      </c>
      <c r="I16" s="3">
        <f>表1[[#This Row],[實際應付]]</f>
        <v/>
      </c>
      <c r="J16" s="3" t="n"/>
      <c r="K16" s="3" t="n"/>
      <c r="L16" s="3">
        <f>L15+表1[[#This Row],[未入餘額]]-表1[[#This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表1[[#This Row],[支出]]-表1[[#This Row],[提前扣款]]</f>
        <v/>
      </c>
      <c r="I17" s="3">
        <f>表1[[#This Row],[實際應付]]</f>
        <v/>
      </c>
      <c r="J17" s="3" t="n"/>
      <c r="K17" s="3" t="n"/>
      <c r="L17" s="3">
        <f>L16+表1[[#This Row],[未入餘額]]-表1[[#This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表1[[#This Row],[支出]]-表1[[#This Row],[提前扣款]]</f>
        <v/>
      </c>
      <c r="I18" s="3">
        <f>表1[[#This Row],[實際應付]]</f>
        <v/>
      </c>
      <c r="J18" s="3" t="n"/>
      <c r="K18" s="3" t="n"/>
      <c r="L18" s="3">
        <f>L17+表1[[#This Row],[未入餘額]]-表1[[#This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表1[[#This Row],[支出]]-表1[[#This Row],[提前扣款]]</f>
        <v/>
      </c>
      <c r="I19" s="3">
        <f>表1[[#This Row],[實際應付]]</f>
        <v/>
      </c>
      <c r="J19" s="3" t="n"/>
      <c r="K19" s="3" t="n"/>
      <c r="L19" s="3">
        <f>L18+表1[[#This Row],[未入餘額]]-表1[[#This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表1[[#This Row],[支出]]-表1[[#This Row],[提前扣款]]</f>
        <v/>
      </c>
      <c r="I20" s="3">
        <f>表1[[#This Row],[實際應付]]</f>
        <v/>
      </c>
      <c r="J20" s="3" t="n"/>
      <c r="K20" s="3" t="n"/>
      <c r="L20" s="3">
        <f>L19+表1[[#This Row],[未入餘額]]-表1[[#This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表1[[#This Row],[支出]]-表1[[#This Row],[提前扣款]]</f>
        <v/>
      </c>
      <c r="I21" s="3">
        <f>表1[[#This Row],[實際應付]]</f>
        <v/>
      </c>
      <c r="J21" s="3" t="n"/>
      <c r="K21" s="3" t="n"/>
      <c r="L21" s="3">
        <f>L20+表1[[#This Row],[未入餘額]]-表1[[#This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表1[[#This Row],[支出]]-表1[[#This Row],[提前扣款]]</f>
        <v/>
      </c>
      <c r="I22" s="3">
        <f>表1[[#This Row],[實際應付]]</f>
        <v/>
      </c>
      <c r="J22" s="3" t="n"/>
      <c r="K22" s="3" t="n"/>
      <c r="L22" s="3">
        <f>L21+表1[[#This Row],[未入餘額]]-表1[[#This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表1[[#This Row],[支出]]-表1[[#This Row],[提前扣款]]</f>
        <v/>
      </c>
      <c r="I23" s="3">
        <f>表1[[#This Row],[實際應付]]</f>
        <v/>
      </c>
      <c r="J23" s="3" t="n"/>
      <c r="K23" s="3" t="n"/>
      <c r="L23" s="3">
        <f>L22+表1[[#This Row],[未入餘額]]-表1[[#This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表1[[#This Row],[支出]]-表1[[#This Row],[提前扣款]]</f>
        <v/>
      </c>
      <c r="I24" s="3">
        <f>表1[[#This Row],[實際應付]]</f>
        <v/>
      </c>
      <c r="J24" s="3" t="n"/>
      <c r="K24" s="3" t="n"/>
      <c r="L24" s="3">
        <f>L23+表1[[#This Row],[未入餘額]]-表1[[#This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表1[[#This Row],[支出]]-表1[[#This Row],[提前扣款]]</f>
        <v/>
      </c>
      <c r="I25" s="3">
        <f>表1[[#This Row],[實際應付]]</f>
        <v/>
      </c>
      <c r="J25" s="3" t="n"/>
      <c r="K25" s="3" t="n"/>
      <c r="L25" s="3">
        <f>L24+表1[[#This Row],[未入餘額]]-表1[[#This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表1[[#This Row],[支出]]-表1[[#This Row],[提前扣款]]</f>
        <v/>
      </c>
      <c r="I26" s="3">
        <f>表1[[#This Row],[實際應付]]</f>
        <v/>
      </c>
      <c r="J26" s="3" t="n"/>
      <c r="K26" s="3" t="n"/>
      <c r="L26" s="3">
        <f>L25+表1[[#This Row],[未入餘額]]-表1[[#This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表1[[#This Row],[支出]]-表1[[#This Row],[提前扣款]]</f>
        <v/>
      </c>
      <c r="I27" s="3">
        <f>表1[[#This Row],[實際應付]]</f>
        <v/>
      </c>
      <c r="J27" s="3" t="n"/>
      <c r="K27" s="3" t="n"/>
      <c r="L27" s="3">
        <f>L26+表1[[#This Row],[未入餘額]]-表1[[#This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表1[[#This Row],[支出]]-表1[[#This Row],[提前扣款]]</f>
        <v/>
      </c>
      <c r="I28" s="3">
        <f>表1[[#This Row],[實際應付]]</f>
        <v/>
      </c>
      <c r="J28" s="3" t="n"/>
      <c r="K28" s="3" t="n"/>
      <c r="L28" s="3">
        <f>L27+表1[[#This Row],[未入餘額]]-表1[[#This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表1[[#This Row],[支出]]-表1[[#This Row],[提前扣款]]</f>
        <v/>
      </c>
      <c r="I29" s="3">
        <f>表1[[#This Row],[實際應付]]</f>
        <v/>
      </c>
      <c r="J29" s="3" t="n"/>
      <c r="K29" s="3" t="n"/>
      <c r="L29" s="3">
        <f>L28+表1[[#This Row],[未入餘額]]-表1[[#This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表1[[#This Row],[支出]]-表1[[#This Row],[提前扣款]]</f>
        <v/>
      </c>
      <c r="I30" s="3">
        <f>表1[[#This Row],[實際應付]]</f>
        <v/>
      </c>
      <c r="J30" s="3" t="n"/>
      <c r="K30" s="3" t="n"/>
      <c r="L30" s="3">
        <f>L29+表1[[#This Row],[未入餘額]]-表1[[#This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表1[[#This Row],[支出]]-表1[[#This Row],[提前扣款]]</f>
        <v/>
      </c>
      <c r="I31" s="3">
        <f>表1[[#This Row],[實際應付]]</f>
        <v/>
      </c>
      <c r="J31" s="3" t="n"/>
      <c r="K31" s="3" t="n"/>
      <c r="L31" s="3">
        <f>L30+表1[[#This Row],[未入餘額]]-表1[[#This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表1[[#This Row],[支出]]-表1[[#This Row],[提前扣款]]</f>
        <v/>
      </c>
      <c r="I32" s="3">
        <f>表1[[#This Row],[實際應付]]</f>
        <v/>
      </c>
      <c r="J32" s="3" t="n"/>
      <c r="K32" s="3" t="n"/>
      <c r="L32" s="3">
        <f>L31+表1[[#This Row],[未入餘額]]-表1[[#This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表1[[#This Row],[支出]]-表1[[#This Row],[提前扣款]]</f>
        <v/>
      </c>
      <c r="I33" s="3">
        <f>表1[[#This Row],[實際應付]]</f>
        <v/>
      </c>
      <c r="J33" s="3" t="n"/>
      <c r="K33" s="3" t="n"/>
      <c r="L33" s="3">
        <f>L32+表1[[#This Row],[未入餘額]]-表1[[#This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表1[[#This Row],[支出]]-表1[[#This Row],[提前扣款]]</f>
        <v/>
      </c>
      <c r="I34" s="3">
        <f>表1[[#This Row],[實際應付]]</f>
        <v/>
      </c>
      <c r="J34" s="3" t="n"/>
      <c r="K34" s="3" t="n"/>
      <c r="L34" s="3">
        <f>L33+表1[[#This Row],[未入餘額]]-表1[[#This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表1[[#This Row],[支出]]-表1[[#This Row],[提前扣款]]</f>
        <v/>
      </c>
      <c r="I35" s="3">
        <f>表1[[#This Row],[實際應付]]</f>
        <v/>
      </c>
      <c r="J35" s="3" t="n"/>
      <c r="K35" s="3" t="n"/>
      <c r="L35" s="3">
        <f>L34+表1[[#This Row],[未入餘額]]-表1[[#This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表1[[#This Row],[支出]]-表1[[#This Row],[提前扣款]]</f>
        <v/>
      </c>
      <c r="I36" s="3">
        <f>表1[[#This Row],[實際應付]]</f>
        <v/>
      </c>
      <c r="J36" s="3" t="n"/>
      <c r="K36" s="3" t="n"/>
      <c r="L36" s="3">
        <f>L35+表1[[#This Row],[未入餘額]]-表1[[#This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表1[[#This Row],[支出]]-表1[[#This Row],[提前扣款]]</f>
        <v/>
      </c>
      <c r="I37" s="3">
        <f>表1[[#This Row],[實際應付]]</f>
        <v/>
      </c>
      <c r="J37" s="3" t="n"/>
      <c r="K37" s="3" t="n"/>
      <c r="L37" s="3">
        <f>L36+表1[[#This Row],[未入餘額]]-表1[[#This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表1[[#This Row],[支出]]-表1[[#This Row],[提前扣款]]</f>
        <v/>
      </c>
      <c r="I38" s="3">
        <f>表1[[#This Row],[實際應付]]</f>
        <v/>
      </c>
      <c r="J38" s="3" t="n"/>
      <c r="K38" s="3" t="n"/>
      <c r="L38" s="3">
        <f>L37+表1[[#This Row],[未入餘額]]-表1[[#This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表1[[#This Row],[支出]]-表1[[#This Row],[提前扣款]]</f>
        <v/>
      </c>
      <c r="I39" s="3">
        <f>表1[[#This Row],[實際應付]]</f>
        <v/>
      </c>
      <c r="J39" s="3" t="n"/>
      <c r="K39" s="3" t="n"/>
      <c r="L39" s="3">
        <f>L38+表1[[#This Row],[未入餘額]]-表1[[#This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表1[[#This Row],[支出]]-表1[[#This Row],[提前扣款]]</f>
        <v/>
      </c>
      <c r="I40" s="3">
        <f>表1[[#This Row],[實際應付]]</f>
        <v/>
      </c>
      <c r="J40" s="3" t="n"/>
      <c r="K40" s="3" t="n"/>
      <c r="L40" s="3">
        <f>L39+表1[[#This Row],[未入餘額]]-表1[[#This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表1[[#This Row],[支出]]-表1[[#This Row],[提前扣款]]</f>
        <v/>
      </c>
      <c r="I41" s="3">
        <f>表1[[#This Row],[實際應付]]</f>
        <v/>
      </c>
      <c r="J41" s="3" t="n"/>
      <c r="K41" s="3" t="n"/>
      <c r="L41" s="3">
        <f>L40+表1[[#This Row],[未入餘額]]-表1[[#This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表1[[#This Row],[支出]]-表1[[#This Row],[提前扣款]]</f>
        <v/>
      </c>
      <c r="I42" s="3">
        <f>表1[[#This Row],[實際應付]]</f>
        <v/>
      </c>
      <c r="J42" s="3" t="n"/>
      <c r="K42" s="3" t="n"/>
      <c r="L42" s="3">
        <f>L41+表1[[#This Row],[未入餘額]]-表1[[#This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表1[[#This Row],[支出]]-表1[[#This Row],[提前扣款]]</f>
        <v/>
      </c>
      <c r="I43" s="3">
        <f>表1[[#This Row],[實際應付]]</f>
        <v/>
      </c>
      <c r="J43" s="3" t="n"/>
      <c r="K43" s="3" t="n"/>
      <c r="L43" s="3">
        <f>L42+表1[[#This Row],[未入餘額]]-表1[[#This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表1[[#This Row],[支出]]-表1[[#This Row],[提前扣款]]</f>
        <v/>
      </c>
      <c r="I44" s="3">
        <f>表1[[#This Row],[實際應付]]</f>
        <v/>
      </c>
      <c r="J44" s="3" t="n"/>
      <c r="K44" s="3" t="n"/>
      <c r="L44" s="3">
        <f>L43+表1[[#This Row],[未入餘額]]-表1[[#This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表1[[#This Row],[支出]]-表1[[#This Row],[提前扣款]]</f>
        <v/>
      </c>
      <c r="I45" s="3">
        <f>表1[[#This Row],[實際應付]]</f>
        <v/>
      </c>
      <c r="J45" s="3" t="n"/>
      <c r="K45" s="3" t="n"/>
      <c r="L45" s="3">
        <f>L44+表1[[#This Row],[未入餘額]]-表1[[#This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表1[[#This Row],[支出]]-表1[[#This Row],[提前扣款]]</f>
        <v/>
      </c>
      <c r="I46" s="3">
        <f>表1[[#This Row],[實際應付]]</f>
        <v/>
      </c>
      <c r="J46" s="3" t="n"/>
      <c r="K46" s="3" t="n"/>
      <c r="L46" s="3">
        <f>L45+表1[[#This Row],[未入餘額]]-表1[[#This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3120000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表2[[#This Row],[支出]]-表2[[#This Row],[提前扣款]]</f>
        <v/>
      </c>
      <c r="I2" s="3">
        <f>表2[[#This Row],[實際應付]]</f>
        <v/>
      </c>
      <c r="J2" s="3" t="n"/>
      <c r="K2" s="3" t="n"/>
      <c r="L2" s="3">
        <f>$P$1+表2[[#This Row],[未入餘額]]-表2[[#This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表2[[#This Row],[支出]]-表2[[#This Row],[提前扣款]]</f>
        <v/>
      </c>
      <c r="I3" s="3">
        <f>表2[[#This Row],[實際應付]]</f>
        <v/>
      </c>
      <c r="J3" s="3" t="n"/>
      <c r="K3" s="3" t="n"/>
      <c r="L3" s="3">
        <f>L2+表2[[#This Row],[未入餘額]]-表2[[#This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表2[[#This Row],[支出]]-表2[[#This Row],[提前扣款]]</f>
        <v/>
      </c>
      <c r="I4" s="3">
        <f>表2[[#This Row],[實際應付]]</f>
        <v/>
      </c>
      <c r="J4" s="3" t="n"/>
      <c r="K4" s="3" t="n"/>
      <c r="L4" s="3">
        <f>L3+表2[[#This Row],[未入餘額]]-表2[[#This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表2[[#This Row],[支出]]-表2[[#This Row],[提前扣款]]</f>
        <v/>
      </c>
      <c r="I5" s="3">
        <f>表2[[#This Row],[實際應付]]</f>
        <v/>
      </c>
      <c r="J5" s="3" t="n"/>
      <c r="K5" s="3" t="n"/>
      <c r="L5" s="3">
        <f>L4+表2[[#This Row],[未入餘額]]-表2[[#This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表2[[#This Row],[支出]]-表2[[#This Row],[提前扣款]]</f>
        <v/>
      </c>
      <c r="I6" s="3">
        <f>表2[[#This Row],[實際應付]]</f>
        <v/>
      </c>
      <c r="J6" s="3" t="n"/>
      <c r="K6" s="3" t="n"/>
      <c r="L6" s="3">
        <f>L5+表2[[#This Row],[未入餘額]]-表2[[#This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表2[[#This Row],[支出]]-表2[[#This Row],[提前扣款]]</f>
        <v/>
      </c>
      <c r="I7" s="3">
        <f>表2[[#This Row],[實際應付]]</f>
        <v/>
      </c>
      <c r="J7" s="3" t="n"/>
      <c r="K7" s="3" t="n"/>
      <c r="L7" s="3">
        <f>L6+表2[[#This Row],[未入餘額]]-表2[[#This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表2[[#This Row],[支出]]-表2[[#This Row],[提前扣款]]</f>
        <v/>
      </c>
      <c r="I8" s="3">
        <f>表2[[#This Row],[實際應付]]</f>
        <v/>
      </c>
      <c r="J8" s="3" t="n"/>
      <c r="K8" s="3" t="n"/>
      <c r="L8" s="3">
        <f>L7+表2[[#This Row],[未入餘額]]-表2[[#This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表2[[#This Row],[支出]]-表2[[#This Row],[提前扣款]]</f>
        <v/>
      </c>
      <c r="I9" s="3">
        <f>表2[[#This Row],[實際應付]]</f>
        <v/>
      </c>
      <c r="J9" s="3" t="n"/>
      <c r="K9" s="3" t="n"/>
      <c r="L9" s="3">
        <f>L8+表2[[#This Row],[未入餘額]]-表2[[#This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表2[[#This Row],[支出]]-表2[[#This Row],[提前扣款]]</f>
        <v/>
      </c>
      <c r="I10" s="3">
        <f>表2[[#This Row],[實際應付]]</f>
        <v/>
      </c>
      <c r="J10" s="3" t="n"/>
      <c r="K10" s="3" t="n"/>
      <c r="L10" s="3">
        <f>L9+表2[[#This Row],[未入餘額]]-表2[[#This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表2[[#This Row],[支出]]-表2[[#This Row],[提前扣款]]</f>
        <v/>
      </c>
      <c r="I11" s="3">
        <f>表2[[#This Row],[實際應付]]</f>
        <v/>
      </c>
      <c r="J11" s="3" t="n"/>
      <c r="K11" s="3" t="n"/>
      <c r="L11" s="3">
        <f>L10+表2[[#This Row],[未入餘額]]-表2[[#This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表2[[#This Row],[支出]]-表2[[#This Row],[提前扣款]]</f>
        <v/>
      </c>
      <c r="I12" s="3">
        <f>表2[[#This Row],[實際應付]]</f>
        <v/>
      </c>
      <c r="J12" s="3" t="n"/>
      <c r="K12" s="3" t="n"/>
      <c r="L12" s="3">
        <f>L11+表2[[#This Row],[未入餘額]]-表2[[#This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表2[[#This Row],[支出]]-表2[[#This Row],[提前扣款]]</f>
        <v/>
      </c>
      <c r="I13" s="3">
        <f>表2[[#This Row],[實際應付]]</f>
        <v/>
      </c>
      <c r="J13" s="3" t="n"/>
      <c r="K13" s="3" t="n"/>
      <c r="L13" s="3">
        <f>L12+表2[[#This Row],[未入餘額]]-表2[[#This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表2[[#This Row],[支出]]-表2[[#This Row],[提前扣款]]</f>
        <v/>
      </c>
      <c r="I14" s="3">
        <f>表2[[#This Row],[實際應付]]</f>
        <v/>
      </c>
      <c r="J14" s="3" t="n"/>
      <c r="K14" s="3" t="n"/>
      <c r="L14" s="3">
        <f>L13+表2[[#This Row],[未入餘額]]-表2[[#This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表2[[#This Row],[支出]]-表2[[#This Row],[提前扣款]]</f>
        <v/>
      </c>
      <c r="I15" s="3">
        <f>表2[[#This Row],[實際應付]]</f>
        <v/>
      </c>
      <c r="J15" s="3" t="n"/>
      <c r="K15" s="3" t="n"/>
      <c r="L15" s="3">
        <f>L14+表2[[#This Row],[未入餘額]]-表2[[#This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表2[[#This Row],[支出]]-表2[[#This Row],[提前扣款]]</f>
        <v/>
      </c>
      <c r="I16" s="3">
        <f>表2[[#This Row],[實際應付]]</f>
        <v/>
      </c>
      <c r="J16" s="3" t="n"/>
      <c r="K16" s="3" t="n"/>
      <c r="L16" s="3">
        <f>L15+表2[[#This Row],[未入餘額]]-表2[[#This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表2[[#This Row],[支出]]-表2[[#This Row],[提前扣款]]</f>
        <v/>
      </c>
      <c r="I17" s="3">
        <f>表2[[#This Row],[實際應付]]</f>
        <v/>
      </c>
      <c r="J17" s="3" t="n"/>
      <c r="K17" s="3" t="n"/>
      <c r="L17" s="3">
        <f>L16+表2[[#This Row],[未入餘額]]-表2[[#This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表2[[#This Row],[支出]]-表2[[#This Row],[提前扣款]]</f>
        <v/>
      </c>
      <c r="I18" s="3">
        <f>表2[[#This Row],[實際應付]]</f>
        <v/>
      </c>
      <c r="J18" s="3" t="n"/>
      <c r="K18" s="3" t="n"/>
      <c r="L18" s="3">
        <f>L17+表2[[#This Row],[未入餘額]]-表2[[#This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表2[[#This Row],[支出]]-表2[[#This Row],[提前扣款]]</f>
        <v/>
      </c>
      <c r="I19" s="3">
        <f>表2[[#This Row],[實際應付]]</f>
        <v/>
      </c>
      <c r="J19" s="3" t="n"/>
      <c r="K19" s="3" t="n"/>
      <c r="L19" s="3">
        <f>L18+表2[[#This Row],[未入餘額]]-表2[[#This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表2[[#This Row],[支出]]-表2[[#This Row],[提前扣款]]</f>
        <v/>
      </c>
      <c r="I20" s="3">
        <f>表2[[#This Row],[實際應付]]</f>
        <v/>
      </c>
      <c r="J20" s="3" t="n"/>
      <c r="K20" s="3" t="n"/>
      <c r="L20" s="3">
        <f>L19+表2[[#This Row],[未入餘額]]-表2[[#This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表2[[#This Row],[支出]]-表2[[#This Row],[提前扣款]]</f>
        <v/>
      </c>
      <c r="I21" s="3">
        <f>表2[[#This Row],[實際應付]]</f>
        <v/>
      </c>
      <c r="J21" s="3" t="n"/>
      <c r="K21" s="3" t="n"/>
      <c r="L21" s="3">
        <f>L20+表2[[#This Row],[未入餘額]]-表2[[#This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表2[[#This Row],[支出]]-表2[[#This Row],[提前扣款]]</f>
        <v/>
      </c>
      <c r="I22" s="3">
        <f>表2[[#This Row],[實際應付]]</f>
        <v/>
      </c>
      <c r="J22" s="3" t="n"/>
      <c r="K22" s="3" t="n"/>
      <c r="L22" s="3">
        <f>L21+表2[[#This Row],[未入餘額]]-表2[[#This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表2[[#This Row],[支出]]-表2[[#This Row],[提前扣款]]</f>
        <v/>
      </c>
      <c r="I23" s="3">
        <f>表2[[#This Row],[實際應付]]</f>
        <v/>
      </c>
      <c r="J23" s="3" t="n"/>
      <c r="K23" s="3" t="n"/>
      <c r="L23" s="3">
        <f>L22+表2[[#This Row],[未入餘額]]-表2[[#This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表2[[#This Row],[支出]]-表2[[#This Row],[提前扣款]]</f>
        <v/>
      </c>
      <c r="I24" s="3">
        <f>表2[[#This Row],[實際應付]]</f>
        <v/>
      </c>
      <c r="J24" s="3" t="n"/>
      <c r="K24" s="3" t="n"/>
      <c r="L24" s="3">
        <f>L23+表2[[#This Row],[未入餘額]]-表2[[#This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表2[[#This Row],[支出]]-表2[[#This Row],[提前扣款]]</f>
        <v/>
      </c>
      <c r="I25" s="3">
        <f>表2[[#This Row],[實際應付]]</f>
        <v/>
      </c>
      <c r="J25" s="3" t="n"/>
      <c r="K25" s="3" t="n"/>
      <c r="L25" s="3">
        <f>L24+表2[[#This Row],[未入餘額]]-表2[[#This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表2[[#This Row],[支出]]-表2[[#This Row],[提前扣款]]</f>
        <v/>
      </c>
      <c r="I26" s="3">
        <f>表2[[#This Row],[實際應付]]</f>
        <v/>
      </c>
      <c r="J26" s="3" t="n"/>
      <c r="K26" s="3" t="n"/>
      <c r="L26" s="3">
        <f>L25+表2[[#This Row],[未入餘額]]-表2[[#This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表2[[#This Row],[支出]]-表2[[#This Row],[提前扣款]]</f>
        <v/>
      </c>
      <c r="I27" s="3">
        <f>表2[[#This Row],[實際應付]]</f>
        <v/>
      </c>
      <c r="J27" s="3" t="n"/>
      <c r="K27" s="3" t="n"/>
      <c r="L27" s="3">
        <f>L26+表2[[#This Row],[未入餘額]]-表2[[#This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表2[[#This Row],[支出]]-表2[[#This Row],[提前扣款]]</f>
        <v/>
      </c>
      <c r="I28" s="3">
        <f>表2[[#This Row],[實際應付]]</f>
        <v/>
      </c>
      <c r="J28" s="3" t="n"/>
      <c r="K28" s="3" t="n"/>
      <c r="L28" s="3">
        <f>L27+表2[[#This Row],[未入餘額]]-表2[[#This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表2[[#This Row],[支出]]-表2[[#This Row],[提前扣款]]</f>
        <v/>
      </c>
      <c r="I29" s="3">
        <f>表2[[#This Row],[實際應付]]</f>
        <v/>
      </c>
      <c r="J29" s="3" t="n"/>
      <c r="K29" s="3" t="n"/>
      <c r="L29" s="3">
        <f>L28+表2[[#This Row],[未入餘額]]-表2[[#This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表2[[#This Row],[支出]]-表2[[#This Row],[提前扣款]]</f>
        <v/>
      </c>
      <c r="I30" s="3">
        <f>表2[[#This Row],[實際應付]]</f>
        <v/>
      </c>
      <c r="J30" s="3" t="n"/>
      <c r="K30" s="3" t="n"/>
      <c r="L30" s="3">
        <f>L29+表2[[#This Row],[未入餘額]]-表2[[#This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表2[[#This Row],[支出]]-表2[[#This Row],[提前扣款]]</f>
        <v/>
      </c>
      <c r="I31" s="3">
        <f>表2[[#This Row],[實際應付]]</f>
        <v/>
      </c>
      <c r="J31" s="3" t="n"/>
      <c r="K31" s="3" t="n"/>
      <c r="L31" s="3">
        <f>L30+表2[[#This Row],[未入餘額]]-表2[[#This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表2[[#This Row],[支出]]-表2[[#This Row],[提前扣款]]</f>
        <v/>
      </c>
      <c r="I32" s="3">
        <f>表2[[#This Row],[實際應付]]</f>
        <v/>
      </c>
      <c r="J32" s="3" t="n"/>
      <c r="K32" s="3" t="n"/>
      <c r="L32" s="3">
        <f>L31+表2[[#This Row],[未入餘額]]-表2[[#This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表2[[#This Row],[支出]]-表2[[#This Row],[提前扣款]]</f>
        <v/>
      </c>
      <c r="I33" s="3">
        <f>表2[[#This Row],[實際應付]]</f>
        <v/>
      </c>
      <c r="J33" s="3" t="n"/>
      <c r="K33" s="3" t="n"/>
      <c r="L33" s="3">
        <f>L32+表2[[#This Row],[未入餘額]]-表2[[#This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表2[[#This Row],[支出]]-表2[[#This Row],[提前扣款]]</f>
        <v/>
      </c>
      <c r="I34" s="3">
        <f>表2[[#This Row],[實際應付]]</f>
        <v/>
      </c>
      <c r="J34" s="3" t="n"/>
      <c r="K34" s="3" t="n"/>
      <c r="L34" s="3">
        <f>L33+表2[[#This Row],[未入餘額]]-表2[[#This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表2[[#This Row],[支出]]-表2[[#This Row],[提前扣款]]</f>
        <v/>
      </c>
      <c r="I35" s="3">
        <f>表2[[#This Row],[實際應付]]</f>
        <v/>
      </c>
      <c r="J35" s="3" t="n"/>
      <c r="K35" s="3" t="n"/>
      <c r="L35" s="3">
        <f>L34+表2[[#This Row],[未入餘額]]-表2[[#This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表2[[#This Row],[支出]]-表2[[#This Row],[提前扣款]]</f>
        <v/>
      </c>
      <c r="I36" s="3">
        <f>表2[[#This Row],[實際應付]]</f>
        <v/>
      </c>
      <c r="J36" s="3" t="n"/>
      <c r="K36" s="3" t="n"/>
      <c r="L36" s="3">
        <f>L35+表2[[#This Row],[未入餘額]]-表2[[#This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表2[[#This Row],[支出]]-表2[[#This Row],[提前扣款]]</f>
        <v/>
      </c>
      <c r="I37" s="3">
        <f>表2[[#This Row],[實際應付]]</f>
        <v/>
      </c>
      <c r="J37" s="3" t="n"/>
      <c r="K37" s="3" t="n"/>
      <c r="L37" s="3">
        <f>L36+表2[[#This Row],[未入餘額]]-表2[[#This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表2[[#This Row],[支出]]-表2[[#This Row],[提前扣款]]</f>
        <v/>
      </c>
      <c r="I38" s="3">
        <f>表2[[#This Row],[實際應付]]</f>
        <v/>
      </c>
      <c r="J38" s="3" t="n"/>
      <c r="K38" s="3" t="n"/>
      <c r="L38" s="3">
        <f>L37+表2[[#This Row],[未入餘額]]-表2[[#This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表2[[#This Row],[支出]]-表2[[#This Row],[提前扣款]]</f>
        <v/>
      </c>
      <c r="I39" s="3">
        <f>表2[[#This Row],[實際應付]]</f>
        <v/>
      </c>
      <c r="J39" s="3" t="n"/>
      <c r="K39" s="3" t="n"/>
      <c r="L39" s="3">
        <f>L38+表2[[#This Row],[未入餘額]]-表2[[#This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表2[[#This Row],[支出]]-表2[[#This Row],[提前扣款]]</f>
        <v/>
      </c>
      <c r="I40" s="3">
        <f>表2[[#This Row],[實際應付]]</f>
        <v/>
      </c>
      <c r="J40" s="3" t="n"/>
      <c r="K40" s="3" t="n"/>
      <c r="L40" s="3">
        <f>L39+表2[[#This Row],[未入餘額]]-表2[[#This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表2[[#This Row],[支出]]-表2[[#This Row],[提前扣款]]</f>
        <v/>
      </c>
      <c r="I41" s="3">
        <f>表2[[#This Row],[實際應付]]</f>
        <v/>
      </c>
      <c r="J41" s="3" t="n"/>
      <c r="K41" s="3" t="n"/>
      <c r="L41" s="3">
        <f>L40+表2[[#This Row],[未入餘額]]-表2[[#This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表2[[#This Row],[支出]]-表2[[#This Row],[提前扣款]]</f>
        <v/>
      </c>
      <c r="I42" s="3">
        <f>表2[[#This Row],[實際應付]]</f>
        <v/>
      </c>
      <c r="J42" s="3" t="n"/>
      <c r="K42" s="3" t="n"/>
      <c r="L42" s="3">
        <f>L41+表2[[#This Row],[未入餘額]]-表2[[#This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表2[[#This Row],[支出]]-表2[[#This Row],[提前扣款]]</f>
        <v/>
      </c>
      <c r="I43" s="3">
        <f>表2[[#This Row],[實際應付]]</f>
        <v/>
      </c>
      <c r="J43" s="3" t="n"/>
      <c r="K43" s="3" t="n"/>
      <c r="L43" s="3">
        <f>L42+表2[[#This Row],[未入餘額]]-表2[[#This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表2[[#This Row],[支出]]-表2[[#This Row],[提前扣款]]</f>
        <v/>
      </c>
      <c r="I44" s="3">
        <f>表2[[#This Row],[實際應付]]</f>
        <v/>
      </c>
      <c r="J44" s="3" t="n"/>
      <c r="K44" s="3" t="n"/>
      <c r="L44" s="3">
        <f>L43+表2[[#This Row],[未入餘額]]-表2[[#This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表2[[#This Row],[支出]]-表2[[#This Row],[提前扣款]]</f>
        <v/>
      </c>
      <c r="I45" s="3">
        <f>表2[[#This Row],[實際應付]]</f>
        <v/>
      </c>
      <c r="J45" s="3" t="n"/>
      <c r="K45" s="3" t="n"/>
      <c r="L45" s="3">
        <f>L44+表2[[#This Row],[未入餘額]]-表2[[#This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表2[[#This Row],[支出]]-表2[[#This Row],[提前扣款]]</f>
        <v/>
      </c>
      <c r="I46" s="3">
        <f>表2[[#This Row],[實際應付]]</f>
        <v/>
      </c>
      <c r="J46" s="3" t="n"/>
      <c r="K46" s="3" t="n"/>
      <c r="L46" s="3">
        <f>L45+表2[[#This Row],[未入餘額]]-表2[[#This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3240000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表3[[#This Row],[支出]]-表3[[#This Row],[提前扣款]]</f>
        <v/>
      </c>
      <c r="I2" s="3">
        <f>表3[[#This Row],[實際應付]]</f>
        <v/>
      </c>
      <c r="J2" s="3" t="n"/>
      <c r="K2" s="3" t="n"/>
      <c r="L2" s="3">
        <f>$P$1+表3[[#This Row],[未入餘額]]-表3[[#This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表3[[#This Row],[支出]]-表3[[#This Row],[提前扣款]]</f>
        <v/>
      </c>
      <c r="I3" s="3">
        <f>表3[[#This Row],[實際應付]]</f>
        <v/>
      </c>
      <c r="J3" s="3" t="n"/>
      <c r="K3" s="3" t="n"/>
      <c r="L3" s="3">
        <f>L2+表3[[#This Row],[未入餘額]]-表3[[#This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表3[[#This Row],[支出]]-表3[[#This Row],[提前扣款]]</f>
        <v/>
      </c>
      <c r="I4" s="3">
        <f>表3[[#This Row],[實際應付]]</f>
        <v/>
      </c>
      <c r="J4" s="3" t="n"/>
      <c r="K4" s="3" t="n"/>
      <c r="L4" s="3">
        <f>L3+表3[[#This Row],[未入餘額]]-表3[[#This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表3[[#This Row],[支出]]-表3[[#This Row],[提前扣款]]</f>
        <v/>
      </c>
      <c r="I5" s="3">
        <f>表3[[#This Row],[實際應付]]</f>
        <v/>
      </c>
      <c r="J5" s="3" t="n"/>
      <c r="K5" s="3" t="n"/>
      <c r="L5" s="3">
        <f>L4+表3[[#This Row],[未入餘額]]-表3[[#This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表3[[#This Row],[支出]]-表3[[#This Row],[提前扣款]]</f>
        <v/>
      </c>
      <c r="I6" s="3">
        <f>表3[[#This Row],[實際應付]]</f>
        <v/>
      </c>
      <c r="J6" s="3" t="n"/>
      <c r="K6" s="3" t="n"/>
      <c r="L6" s="3">
        <f>L5+表3[[#This Row],[未入餘額]]-表3[[#This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表3[[#This Row],[支出]]-表3[[#This Row],[提前扣款]]</f>
        <v/>
      </c>
      <c r="I7" s="3">
        <f>表3[[#This Row],[實際應付]]</f>
        <v/>
      </c>
      <c r="J7" s="3" t="n"/>
      <c r="K7" s="3" t="n"/>
      <c r="L7" s="3">
        <f>L6+表3[[#This Row],[未入餘額]]-表3[[#This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表3[[#This Row],[支出]]-表3[[#This Row],[提前扣款]]</f>
        <v/>
      </c>
      <c r="I8" s="3">
        <f>表3[[#This Row],[實際應付]]</f>
        <v/>
      </c>
      <c r="J8" s="3" t="n"/>
      <c r="K8" s="3" t="n"/>
      <c r="L8" s="3">
        <f>L7+表3[[#This Row],[未入餘額]]-表3[[#This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表3[[#This Row],[支出]]-表3[[#This Row],[提前扣款]]</f>
        <v/>
      </c>
      <c r="I9" s="3">
        <f>表3[[#This Row],[實際應付]]</f>
        <v/>
      </c>
      <c r="J9" s="3" t="n"/>
      <c r="K9" s="3" t="n"/>
      <c r="L9" s="3">
        <f>L8+表3[[#This Row],[未入餘額]]-表3[[#This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表3[[#This Row],[支出]]-表3[[#This Row],[提前扣款]]</f>
        <v/>
      </c>
      <c r="I10" s="3">
        <f>表3[[#This Row],[實際應付]]</f>
        <v/>
      </c>
      <c r="J10" s="3" t="n"/>
      <c r="K10" s="3" t="n"/>
      <c r="L10" s="3">
        <f>L9+表3[[#This Row],[未入餘額]]-表3[[#This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表3[[#This Row],[支出]]-表3[[#This Row],[提前扣款]]</f>
        <v/>
      </c>
      <c r="I11" s="3">
        <f>表3[[#This Row],[實際應付]]</f>
        <v/>
      </c>
      <c r="J11" s="3" t="n"/>
      <c r="K11" s="3" t="n"/>
      <c r="L11" s="3">
        <f>L10+表3[[#This Row],[未入餘額]]-表3[[#This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表3[[#This Row],[支出]]-表3[[#This Row],[提前扣款]]</f>
        <v/>
      </c>
      <c r="I12" s="3">
        <f>表3[[#This Row],[實際應付]]</f>
        <v/>
      </c>
      <c r="J12" s="3" t="n"/>
      <c r="K12" s="3" t="n"/>
      <c r="L12" s="3">
        <f>L11+表3[[#This Row],[未入餘額]]-表3[[#This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表3[[#This Row],[支出]]-表3[[#This Row],[提前扣款]]</f>
        <v/>
      </c>
      <c r="I13" s="3">
        <f>表3[[#This Row],[實際應付]]</f>
        <v/>
      </c>
      <c r="J13" s="3" t="n"/>
      <c r="K13" s="3" t="n"/>
      <c r="L13" s="3">
        <f>L12+表3[[#This Row],[未入餘額]]-表3[[#This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表3[[#This Row],[支出]]-表3[[#This Row],[提前扣款]]</f>
        <v/>
      </c>
      <c r="I14" s="3">
        <f>表3[[#This Row],[實際應付]]</f>
        <v/>
      </c>
      <c r="J14" s="3" t="n"/>
      <c r="K14" s="3" t="n"/>
      <c r="L14" s="3">
        <f>L13+表3[[#This Row],[未入餘額]]-表3[[#This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表3[[#This Row],[支出]]-表3[[#This Row],[提前扣款]]</f>
        <v/>
      </c>
      <c r="I15" s="3">
        <f>表3[[#This Row],[實際應付]]</f>
        <v/>
      </c>
      <c r="J15" s="3" t="n"/>
      <c r="K15" s="3" t="n"/>
      <c r="L15" s="3">
        <f>L14+表3[[#This Row],[未入餘額]]-表3[[#This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表3[[#This Row],[支出]]-表3[[#This Row],[提前扣款]]</f>
        <v/>
      </c>
      <c r="I16" s="3">
        <f>表3[[#This Row],[實際應付]]</f>
        <v/>
      </c>
      <c r="J16" s="3" t="n"/>
      <c r="K16" s="3" t="n"/>
      <c r="L16" s="3">
        <f>L15+表3[[#This Row],[未入餘額]]-表3[[#This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表3[[#This Row],[支出]]-表3[[#This Row],[提前扣款]]</f>
        <v/>
      </c>
      <c r="I17" s="3">
        <f>表3[[#This Row],[實際應付]]</f>
        <v/>
      </c>
      <c r="J17" s="3" t="n"/>
      <c r="K17" s="3" t="n"/>
      <c r="L17" s="3">
        <f>L16+表3[[#This Row],[未入餘額]]-表3[[#This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表3[[#This Row],[支出]]-表3[[#This Row],[提前扣款]]</f>
        <v/>
      </c>
      <c r="I18" s="3">
        <f>表3[[#This Row],[實際應付]]</f>
        <v/>
      </c>
      <c r="J18" s="3" t="n"/>
      <c r="K18" s="3" t="n"/>
      <c r="L18" s="3">
        <f>L17+表3[[#This Row],[未入餘額]]-表3[[#This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表3[[#This Row],[支出]]-表3[[#This Row],[提前扣款]]</f>
        <v/>
      </c>
      <c r="I19" s="3">
        <f>表3[[#This Row],[實際應付]]</f>
        <v/>
      </c>
      <c r="J19" s="3" t="n"/>
      <c r="K19" s="3" t="n"/>
      <c r="L19" s="3">
        <f>L18+表3[[#This Row],[未入餘額]]-表3[[#This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表3[[#This Row],[支出]]-表3[[#This Row],[提前扣款]]</f>
        <v/>
      </c>
      <c r="I20" s="3">
        <f>表3[[#This Row],[實際應付]]</f>
        <v/>
      </c>
      <c r="J20" s="3" t="n"/>
      <c r="K20" s="3" t="n"/>
      <c r="L20" s="3">
        <f>L19+表3[[#This Row],[未入餘額]]-表3[[#This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表3[[#This Row],[支出]]-表3[[#This Row],[提前扣款]]</f>
        <v/>
      </c>
      <c r="I21" s="3">
        <f>表3[[#This Row],[實際應付]]</f>
        <v/>
      </c>
      <c r="J21" s="3" t="n"/>
      <c r="K21" s="3" t="n"/>
      <c r="L21" s="3">
        <f>L20+表3[[#This Row],[未入餘額]]-表3[[#This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表3[[#This Row],[支出]]-表3[[#This Row],[提前扣款]]</f>
        <v/>
      </c>
      <c r="I22" s="3">
        <f>表3[[#This Row],[實際應付]]</f>
        <v/>
      </c>
      <c r="J22" s="3" t="n"/>
      <c r="K22" s="3" t="n"/>
      <c r="L22" s="3">
        <f>L21+表3[[#This Row],[未入餘額]]-表3[[#This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表3[[#This Row],[支出]]-表3[[#This Row],[提前扣款]]</f>
        <v/>
      </c>
      <c r="I23" s="3">
        <f>表3[[#This Row],[實際應付]]</f>
        <v/>
      </c>
      <c r="J23" s="3" t="n"/>
      <c r="K23" s="3" t="n"/>
      <c r="L23" s="3">
        <f>L22+表3[[#This Row],[未入餘額]]-表3[[#This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表3[[#This Row],[支出]]-表3[[#This Row],[提前扣款]]</f>
        <v/>
      </c>
      <c r="I24" s="3">
        <f>表3[[#This Row],[實際應付]]</f>
        <v/>
      </c>
      <c r="J24" s="3" t="n"/>
      <c r="K24" s="3" t="n"/>
      <c r="L24" s="3">
        <f>L23+表3[[#This Row],[未入餘額]]-表3[[#This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表3[[#This Row],[支出]]-表3[[#This Row],[提前扣款]]</f>
        <v/>
      </c>
      <c r="I25" s="3">
        <f>表3[[#This Row],[實際應付]]</f>
        <v/>
      </c>
      <c r="J25" s="3" t="n"/>
      <c r="K25" s="3" t="n"/>
      <c r="L25" s="3">
        <f>L24+表3[[#This Row],[未入餘額]]-表3[[#This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表3[[#This Row],[支出]]-表3[[#This Row],[提前扣款]]</f>
        <v/>
      </c>
      <c r="I26" s="3">
        <f>表3[[#This Row],[實際應付]]</f>
        <v/>
      </c>
      <c r="J26" s="3" t="n"/>
      <c r="K26" s="3" t="n"/>
      <c r="L26" s="3">
        <f>L25+表3[[#This Row],[未入餘額]]-表3[[#This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表3[[#This Row],[支出]]-表3[[#This Row],[提前扣款]]</f>
        <v/>
      </c>
      <c r="I27" s="3">
        <f>表3[[#This Row],[實際應付]]</f>
        <v/>
      </c>
      <c r="J27" s="3" t="n"/>
      <c r="K27" s="3" t="n"/>
      <c r="L27" s="3">
        <f>L26+表3[[#This Row],[未入餘額]]-表3[[#This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表3[[#This Row],[支出]]-表3[[#This Row],[提前扣款]]</f>
        <v/>
      </c>
      <c r="I28" s="3">
        <f>表3[[#This Row],[實際應付]]</f>
        <v/>
      </c>
      <c r="J28" s="3" t="n"/>
      <c r="K28" s="3" t="n"/>
      <c r="L28" s="3">
        <f>L27+表3[[#This Row],[未入餘額]]-表3[[#This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表3[[#This Row],[支出]]-表3[[#This Row],[提前扣款]]</f>
        <v/>
      </c>
      <c r="I29" s="3">
        <f>表3[[#This Row],[實際應付]]</f>
        <v/>
      </c>
      <c r="J29" s="3" t="n"/>
      <c r="K29" s="3" t="n"/>
      <c r="L29" s="3">
        <f>L28+表3[[#This Row],[未入餘額]]-表3[[#This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表3[[#This Row],[支出]]-表3[[#This Row],[提前扣款]]</f>
        <v/>
      </c>
      <c r="I30" s="3">
        <f>表3[[#This Row],[實際應付]]</f>
        <v/>
      </c>
      <c r="J30" s="3" t="n"/>
      <c r="K30" s="3" t="n"/>
      <c r="L30" s="3">
        <f>L29+表3[[#This Row],[未入餘額]]-表3[[#This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表3[[#This Row],[支出]]-表3[[#This Row],[提前扣款]]</f>
        <v/>
      </c>
      <c r="I31" s="3">
        <f>表3[[#This Row],[實際應付]]</f>
        <v/>
      </c>
      <c r="J31" s="3" t="n"/>
      <c r="K31" s="3" t="n"/>
      <c r="L31" s="3">
        <f>L30+表3[[#This Row],[未入餘額]]-表3[[#This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表3[[#This Row],[支出]]-表3[[#This Row],[提前扣款]]</f>
        <v/>
      </c>
      <c r="I32" s="3">
        <f>表3[[#This Row],[實際應付]]</f>
        <v/>
      </c>
      <c r="J32" s="3" t="n"/>
      <c r="K32" s="3" t="n"/>
      <c r="L32" s="3">
        <f>L31+表3[[#This Row],[未入餘額]]-表3[[#This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表3[[#This Row],[支出]]-表3[[#This Row],[提前扣款]]</f>
        <v/>
      </c>
      <c r="I33" s="3">
        <f>表3[[#This Row],[實際應付]]</f>
        <v/>
      </c>
      <c r="J33" s="3" t="n"/>
      <c r="K33" s="3" t="n"/>
      <c r="L33" s="3">
        <f>L32+表3[[#This Row],[未入餘額]]-表3[[#This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表3[[#This Row],[支出]]-表3[[#This Row],[提前扣款]]</f>
        <v/>
      </c>
      <c r="I34" s="3">
        <f>表3[[#This Row],[實際應付]]</f>
        <v/>
      </c>
      <c r="J34" s="3" t="n"/>
      <c r="K34" s="3" t="n"/>
      <c r="L34" s="3">
        <f>L33+表3[[#This Row],[未入餘額]]-表3[[#This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表3[[#This Row],[支出]]-表3[[#This Row],[提前扣款]]</f>
        <v/>
      </c>
      <c r="I35" s="3">
        <f>表3[[#This Row],[實際應付]]</f>
        <v/>
      </c>
      <c r="J35" s="3" t="n"/>
      <c r="K35" s="3" t="n"/>
      <c r="L35" s="3">
        <f>L34+表3[[#This Row],[未入餘額]]-表3[[#This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表3[[#This Row],[支出]]-表3[[#This Row],[提前扣款]]</f>
        <v/>
      </c>
      <c r="I36" s="3">
        <f>表3[[#This Row],[實際應付]]</f>
        <v/>
      </c>
      <c r="J36" s="3" t="n"/>
      <c r="K36" s="3" t="n"/>
      <c r="L36" s="3">
        <f>L35+表3[[#This Row],[未入餘額]]-表3[[#This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表3[[#This Row],[支出]]-表3[[#This Row],[提前扣款]]</f>
        <v/>
      </c>
      <c r="I37" s="3">
        <f>表3[[#This Row],[實際應付]]</f>
        <v/>
      </c>
      <c r="J37" s="3" t="n"/>
      <c r="K37" s="3" t="n"/>
      <c r="L37" s="3">
        <f>L36+表3[[#This Row],[未入餘額]]-表3[[#This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表3[[#This Row],[支出]]-表3[[#This Row],[提前扣款]]</f>
        <v/>
      </c>
      <c r="I38" s="3">
        <f>表3[[#This Row],[實際應付]]</f>
        <v/>
      </c>
      <c r="J38" s="3" t="n"/>
      <c r="K38" s="3" t="n"/>
      <c r="L38" s="3">
        <f>L37+表3[[#This Row],[未入餘額]]-表3[[#This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表3[[#This Row],[支出]]-表3[[#This Row],[提前扣款]]</f>
        <v/>
      </c>
      <c r="I39" s="3">
        <f>表3[[#This Row],[實際應付]]</f>
        <v/>
      </c>
      <c r="J39" s="3" t="n"/>
      <c r="K39" s="3" t="n"/>
      <c r="L39" s="3">
        <f>L38+表3[[#This Row],[未入餘額]]-表3[[#This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表3[[#This Row],[支出]]-表3[[#This Row],[提前扣款]]</f>
        <v/>
      </c>
      <c r="I40" s="3">
        <f>表3[[#This Row],[實際應付]]</f>
        <v/>
      </c>
      <c r="J40" s="3" t="n"/>
      <c r="K40" s="3" t="n"/>
      <c r="L40" s="3">
        <f>L39+表3[[#This Row],[未入餘額]]-表3[[#This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表3[[#This Row],[支出]]-表3[[#This Row],[提前扣款]]</f>
        <v/>
      </c>
      <c r="I41" s="3">
        <f>表3[[#This Row],[實際應付]]</f>
        <v/>
      </c>
      <c r="J41" s="3" t="n"/>
      <c r="K41" s="3" t="n"/>
      <c r="L41" s="3">
        <f>L40+表3[[#This Row],[未入餘額]]-表3[[#This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表3[[#This Row],[支出]]-表3[[#This Row],[提前扣款]]</f>
        <v/>
      </c>
      <c r="I42" s="3">
        <f>表3[[#This Row],[實際應付]]</f>
        <v/>
      </c>
      <c r="J42" s="3" t="n"/>
      <c r="K42" s="3" t="n"/>
      <c r="L42" s="3">
        <f>L41+表3[[#This Row],[未入餘額]]-表3[[#This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表3[[#This Row],[支出]]-表3[[#This Row],[提前扣款]]</f>
        <v/>
      </c>
      <c r="I43" s="3">
        <f>表3[[#This Row],[實際應付]]</f>
        <v/>
      </c>
      <c r="J43" s="3" t="n"/>
      <c r="K43" s="3" t="n"/>
      <c r="L43" s="3">
        <f>L42+表3[[#This Row],[未入餘額]]-表3[[#This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表3[[#This Row],[支出]]-表3[[#This Row],[提前扣款]]</f>
        <v/>
      </c>
      <c r="I44" s="3">
        <f>表3[[#This Row],[實際應付]]</f>
        <v/>
      </c>
      <c r="J44" s="3" t="n"/>
      <c r="K44" s="3" t="n"/>
      <c r="L44" s="3">
        <f>L43+表3[[#This Row],[未入餘額]]-表3[[#This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表3[[#This Row],[支出]]-表3[[#This Row],[提前扣款]]</f>
        <v/>
      </c>
      <c r="I45" s="3">
        <f>表3[[#This Row],[實際應付]]</f>
        <v/>
      </c>
      <c r="J45" s="3" t="n"/>
      <c r="K45" s="3" t="n"/>
      <c r="L45" s="3">
        <f>L44+表3[[#This Row],[未入餘額]]-表3[[#This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表3[[#This Row],[支出]]-表3[[#This Row],[提前扣款]]</f>
        <v/>
      </c>
      <c r="I46" s="3">
        <f>表3[[#This Row],[實際應付]]</f>
        <v/>
      </c>
      <c r="J46" s="3" t="n"/>
      <c r="K46" s="3" t="n"/>
      <c r="L46" s="3">
        <f>L45+表3[[#This Row],[未入餘額]]-表3[[#This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3360000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表4[[#This Row],[支出]]-表4[[#This Row],[提前扣款]]</f>
        <v/>
      </c>
      <c r="I2" s="3">
        <f>表4[[#This Row],[實際應付]]</f>
        <v/>
      </c>
      <c r="J2" s="3" t="n"/>
      <c r="K2" s="3" t="n"/>
      <c r="L2" s="3">
        <f>$P$1+表4[[#This Row],[未入餘額]]-表4[[#This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表4[[#This Row],[支出]]-表4[[#This Row],[提前扣款]]</f>
        <v/>
      </c>
      <c r="I3" s="3">
        <f>表4[[#This Row],[實際應付]]</f>
        <v/>
      </c>
      <c r="J3" s="3" t="n"/>
      <c r="K3" s="3" t="n"/>
      <c r="L3" s="3">
        <f>L2+表4[[#This Row],[未入餘額]]-表4[[#This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表4[[#This Row],[支出]]-表4[[#This Row],[提前扣款]]</f>
        <v/>
      </c>
      <c r="I4" s="3">
        <f>表4[[#This Row],[實際應付]]</f>
        <v/>
      </c>
      <c r="J4" s="3" t="n"/>
      <c r="K4" s="3" t="n"/>
      <c r="L4" s="3">
        <f>L3+表4[[#This Row],[未入餘額]]-表4[[#This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表4[[#This Row],[支出]]-表4[[#This Row],[提前扣款]]</f>
        <v/>
      </c>
      <c r="I5" s="3">
        <f>表4[[#This Row],[實際應付]]</f>
        <v/>
      </c>
      <c r="J5" s="3" t="n"/>
      <c r="K5" s="3" t="n"/>
      <c r="L5" s="3">
        <f>L4+表4[[#This Row],[未入餘額]]-表4[[#This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表4[[#This Row],[支出]]-表4[[#This Row],[提前扣款]]</f>
        <v/>
      </c>
      <c r="I6" s="3">
        <f>表4[[#This Row],[實際應付]]</f>
        <v/>
      </c>
      <c r="J6" s="3" t="n"/>
      <c r="K6" s="3" t="n"/>
      <c r="L6" s="3">
        <f>L5+表4[[#This Row],[未入餘額]]-表4[[#This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表4[[#This Row],[支出]]-表4[[#This Row],[提前扣款]]</f>
        <v/>
      </c>
      <c r="I7" s="3">
        <f>表4[[#This Row],[實際應付]]</f>
        <v/>
      </c>
      <c r="J7" s="3" t="n"/>
      <c r="K7" s="3" t="n"/>
      <c r="L7" s="3">
        <f>L6+表4[[#This Row],[未入餘額]]-表4[[#This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表4[[#This Row],[支出]]-表4[[#This Row],[提前扣款]]</f>
        <v/>
      </c>
      <c r="I8" s="3">
        <f>表4[[#This Row],[實際應付]]</f>
        <v/>
      </c>
      <c r="J8" s="3" t="n"/>
      <c r="K8" s="3" t="n"/>
      <c r="L8" s="3">
        <f>L7+表4[[#This Row],[未入餘額]]-表4[[#This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表4[[#This Row],[支出]]-表4[[#This Row],[提前扣款]]</f>
        <v/>
      </c>
      <c r="I9" s="3">
        <f>表4[[#This Row],[實際應付]]</f>
        <v/>
      </c>
      <c r="J9" s="3" t="n"/>
      <c r="K9" s="3" t="n"/>
      <c r="L9" s="3">
        <f>L8+表4[[#This Row],[未入餘額]]-表4[[#This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表4[[#This Row],[支出]]-表4[[#This Row],[提前扣款]]</f>
        <v/>
      </c>
      <c r="I10" s="3">
        <f>表4[[#This Row],[實際應付]]</f>
        <v/>
      </c>
      <c r="J10" s="3" t="n"/>
      <c r="K10" s="3" t="n"/>
      <c r="L10" s="3">
        <f>L9+表4[[#This Row],[未入餘額]]-表4[[#This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表4[[#This Row],[支出]]-表4[[#This Row],[提前扣款]]</f>
        <v/>
      </c>
      <c r="I11" s="3">
        <f>表4[[#This Row],[實際應付]]</f>
        <v/>
      </c>
      <c r="J11" s="3" t="n"/>
      <c r="K11" s="3" t="n"/>
      <c r="L11" s="3">
        <f>L10+表4[[#This Row],[未入餘額]]-表4[[#This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表4[[#This Row],[支出]]-表4[[#This Row],[提前扣款]]</f>
        <v/>
      </c>
      <c r="I12" s="3">
        <f>表4[[#This Row],[實際應付]]</f>
        <v/>
      </c>
      <c r="J12" s="3" t="n"/>
      <c r="K12" s="3" t="n"/>
      <c r="L12" s="3">
        <f>L11+表4[[#This Row],[未入餘額]]-表4[[#This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表4[[#This Row],[支出]]-表4[[#This Row],[提前扣款]]</f>
        <v/>
      </c>
      <c r="I13" s="3">
        <f>表4[[#This Row],[實際應付]]</f>
        <v/>
      </c>
      <c r="J13" s="3" t="n"/>
      <c r="K13" s="3" t="n"/>
      <c r="L13" s="3">
        <f>L12+表4[[#This Row],[未入餘額]]-表4[[#This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表4[[#This Row],[支出]]-表4[[#This Row],[提前扣款]]</f>
        <v/>
      </c>
      <c r="I14" s="3">
        <f>表4[[#This Row],[實際應付]]</f>
        <v/>
      </c>
      <c r="J14" s="3" t="n"/>
      <c r="K14" s="3" t="n"/>
      <c r="L14" s="3">
        <f>L13+表4[[#This Row],[未入餘額]]-表4[[#This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表4[[#This Row],[支出]]-表4[[#This Row],[提前扣款]]</f>
        <v/>
      </c>
      <c r="I15" s="3">
        <f>表4[[#This Row],[實際應付]]</f>
        <v/>
      </c>
      <c r="J15" s="3" t="n"/>
      <c r="K15" s="3" t="n"/>
      <c r="L15" s="3">
        <f>L14+表4[[#This Row],[未入餘額]]-表4[[#This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表4[[#This Row],[支出]]-表4[[#This Row],[提前扣款]]</f>
        <v/>
      </c>
      <c r="I16" s="3">
        <f>表4[[#This Row],[實際應付]]</f>
        <v/>
      </c>
      <c r="J16" s="3" t="n"/>
      <c r="K16" s="3" t="n"/>
      <c r="L16" s="3">
        <f>L15+表4[[#This Row],[未入餘額]]-表4[[#This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表4[[#This Row],[支出]]-表4[[#This Row],[提前扣款]]</f>
        <v/>
      </c>
      <c r="I17" s="3">
        <f>表4[[#This Row],[實際應付]]</f>
        <v/>
      </c>
      <c r="J17" s="3" t="n"/>
      <c r="K17" s="3" t="n"/>
      <c r="L17" s="3">
        <f>L16+表4[[#This Row],[未入餘額]]-表4[[#This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表4[[#This Row],[支出]]-表4[[#This Row],[提前扣款]]</f>
        <v/>
      </c>
      <c r="I18" s="3">
        <f>表4[[#This Row],[實際應付]]</f>
        <v/>
      </c>
      <c r="J18" s="3" t="n"/>
      <c r="K18" s="3" t="n"/>
      <c r="L18" s="3">
        <f>L17+表4[[#This Row],[未入餘額]]-表4[[#This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表4[[#This Row],[支出]]-表4[[#This Row],[提前扣款]]</f>
        <v/>
      </c>
      <c r="I19" s="3">
        <f>表4[[#This Row],[實際應付]]</f>
        <v/>
      </c>
      <c r="J19" s="3" t="n"/>
      <c r="K19" s="3" t="n"/>
      <c r="L19" s="3">
        <f>L18+表4[[#This Row],[未入餘額]]-表4[[#This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表4[[#This Row],[支出]]-表4[[#This Row],[提前扣款]]</f>
        <v/>
      </c>
      <c r="I20" s="3">
        <f>表4[[#This Row],[實際應付]]</f>
        <v/>
      </c>
      <c r="J20" s="3" t="n"/>
      <c r="K20" s="3" t="n"/>
      <c r="L20" s="3">
        <f>L19+表4[[#This Row],[未入餘額]]-表4[[#This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表4[[#This Row],[支出]]-表4[[#This Row],[提前扣款]]</f>
        <v/>
      </c>
      <c r="I21" s="3">
        <f>表4[[#This Row],[實際應付]]</f>
        <v/>
      </c>
      <c r="J21" s="3" t="n"/>
      <c r="K21" s="3" t="n"/>
      <c r="L21" s="3">
        <f>L20+表4[[#This Row],[未入餘額]]-表4[[#This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表4[[#This Row],[支出]]-表4[[#This Row],[提前扣款]]</f>
        <v/>
      </c>
      <c r="I22" s="3">
        <f>表4[[#This Row],[實際應付]]</f>
        <v/>
      </c>
      <c r="J22" s="3" t="n"/>
      <c r="K22" s="3" t="n"/>
      <c r="L22" s="3">
        <f>L21+表4[[#This Row],[未入餘額]]-表4[[#This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表4[[#This Row],[支出]]-表4[[#This Row],[提前扣款]]</f>
        <v/>
      </c>
      <c r="I23" s="3">
        <f>表4[[#This Row],[實際應付]]</f>
        <v/>
      </c>
      <c r="J23" s="3" t="n"/>
      <c r="K23" s="3" t="n"/>
      <c r="L23" s="3">
        <f>L22+表4[[#This Row],[未入餘額]]-表4[[#This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表4[[#This Row],[支出]]-表4[[#This Row],[提前扣款]]</f>
        <v/>
      </c>
      <c r="I24" s="3">
        <f>表4[[#This Row],[實際應付]]</f>
        <v/>
      </c>
      <c r="J24" s="3" t="n"/>
      <c r="K24" s="3" t="n"/>
      <c r="L24" s="3">
        <f>L23+表4[[#This Row],[未入餘額]]-表4[[#This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表4[[#This Row],[支出]]-表4[[#This Row],[提前扣款]]</f>
        <v/>
      </c>
      <c r="I25" s="3">
        <f>表4[[#This Row],[實際應付]]</f>
        <v/>
      </c>
      <c r="J25" s="3" t="n"/>
      <c r="K25" s="3" t="n"/>
      <c r="L25" s="3">
        <f>L24+表4[[#This Row],[未入餘額]]-表4[[#This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表4[[#This Row],[支出]]-表4[[#This Row],[提前扣款]]</f>
        <v/>
      </c>
      <c r="I26" s="3">
        <f>表4[[#This Row],[實際應付]]</f>
        <v/>
      </c>
      <c r="J26" s="3" t="n"/>
      <c r="K26" s="3" t="n"/>
      <c r="L26" s="3">
        <f>L25+表4[[#This Row],[未入餘額]]-表4[[#This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表4[[#This Row],[支出]]-表4[[#This Row],[提前扣款]]</f>
        <v/>
      </c>
      <c r="I27" s="3">
        <f>表4[[#This Row],[實際應付]]</f>
        <v/>
      </c>
      <c r="J27" s="3" t="n"/>
      <c r="K27" s="3" t="n"/>
      <c r="L27" s="3">
        <f>L26+表4[[#This Row],[未入餘額]]-表4[[#This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表4[[#This Row],[支出]]-表4[[#This Row],[提前扣款]]</f>
        <v/>
      </c>
      <c r="I28" s="3">
        <f>表4[[#This Row],[實際應付]]</f>
        <v/>
      </c>
      <c r="J28" s="3" t="n"/>
      <c r="K28" s="3" t="n"/>
      <c r="L28" s="3">
        <f>L27+表4[[#This Row],[未入餘額]]-表4[[#This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表4[[#This Row],[支出]]-表4[[#This Row],[提前扣款]]</f>
        <v/>
      </c>
      <c r="I29" s="3">
        <f>表4[[#This Row],[實際應付]]</f>
        <v/>
      </c>
      <c r="J29" s="3" t="n"/>
      <c r="K29" s="3" t="n"/>
      <c r="L29" s="3">
        <f>L28+表4[[#This Row],[未入餘額]]-表4[[#This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表4[[#This Row],[支出]]-表4[[#This Row],[提前扣款]]</f>
        <v/>
      </c>
      <c r="I30" s="3">
        <f>表4[[#This Row],[實際應付]]</f>
        <v/>
      </c>
      <c r="J30" s="3" t="n"/>
      <c r="K30" s="3" t="n"/>
      <c r="L30" s="3">
        <f>L29+表4[[#This Row],[未入餘額]]-表4[[#This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表4[[#This Row],[支出]]-表4[[#This Row],[提前扣款]]</f>
        <v/>
      </c>
      <c r="I31" s="3">
        <f>表4[[#This Row],[實際應付]]</f>
        <v/>
      </c>
      <c r="J31" s="3" t="n"/>
      <c r="K31" s="3" t="n"/>
      <c r="L31" s="3">
        <f>L30+表4[[#This Row],[未入餘額]]-表4[[#This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表4[[#This Row],[支出]]-表4[[#This Row],[提前扣款]]</f>
        <v/>
      </c>
      <c r="I32" s="3">
        <f>表4[[#This Row],[實際應付]]</f>
        <v/>
      </c>
      <c r="J32" s="3" t="n"/>
      <c r="K32" s="3" t="n"/>
      <c r="L32" s="3">
        <f>L31+表4[[#This Row],[未入餘額]]-表4[[#This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表4[[#This Row],[支出]]-表4[[#This Row],[提前扣款]]</f>
        <v/>
      </c>
      <c r="I33" s="3">
        <f>表4[[#This Row],[實際應付]]</f>
        <v/>
      </c>
      <c r="J33" s="3" t="n"/>
      <c r="K33" s="3" t="n"/>
      <c r="L33" s="3">
        <f>L32+表4[[#This Row],[未入餘額]]-表4[[#This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表4[[#This Row],[支出]]-表4[[#This Row],[提前扣款]]</f>
        <v/>
      </c>
      <c r="I34" s="3">
        <f>表4[[#This Row],[實際應付]]</f>
        <v/>
      </c>
      <c r="J34" s="3" t="n"/>
      <c r="K34" s="3" t="n"/>
      <c r="L34" s="3">
        <f>L33+表4[[#This Row],[未入餘額]]-表4[[#This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表4[[#This Row],[支出]]-表4[[#This Row],[提前扣款]]</f>
        <v/>
      </c>
      <c r="I35" s="3">
        <f>表4[[#This Row],[實際應付]]</f>
        <v/>
      </c>
      <c r="J35" s="3" t="n"/>
      <c r="K35" s="3" t="n"/>
      <c r="L35" s="3">
        <f>L34+表4[[#This Row],[未入餘額]]-表4[[#This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表4[[#This Row],[支出]]-表4[[#This Row],[提前扣款]]</f>
        <v/>
      </c>
      <c r="I36" s="3">
        <f>表4[[#This Row],[實際應付]]</f>
        <v/>
      </c>
      <c r="J36" s="3" t="n"/>
      <c r="K36" s="3" t="n"/>
      <c r="L36" s="3">
        <f>L35+表4[[#This Row],[未入餘額]]-表4[[#This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表4[[#This Row],[支出]]-表4[[#This Row],[提前扣款]]</f>
        <v/>
      </c>
      <c r="I37" s="3">
        <f>表4[[#This Row],[實際應付]]</f>
        <v/>
      </c>
      <c r="J37" s="3" t="n"/>
      <c r="K37" s="3" t="n"/>
      <c r="L37" s="3">
        <f>L36+表4[[#This Row],[未入餘額]]-表4[[#This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表4[[#This Row],[支出]]-表4[[#This Row],[提前扣款]]</f>
        <v/>
      </c>
      <c r="I38" s="3">
        <f>表4[[#This Row],[實際應付]]</f>
        <v/>
      </c>
      <c r="J38" s="3" t="n"/>
      <c r="K38" s="3" t="n"/>
      <c r="L38" s="3">
        <f>L37+表4[[#This Row],[未入餘額]]-表4[[#This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表4[[#This Row],[支出]]-表4[[#This Row],[提前扣款]]</f>
        <v/>
      </c>
      <c r="I39" s="3">
        <f>表4[[#This Row],[實際應付]]</f>
        <v/>
      </c>
      <c r="J39" s="3" t="n"/>
      <c r="K39" s="3" t="n"/>
      <c r="L39" s="3">
        <f>L38+表4[[#This Row],[未入餘額]]-表4[[#This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表4[[#This Row],[支出]]-表4[[#This Row],[提前扣款]]</f>
        <v/>
      </c>
      <c r="I40" s="3">
        <f>表4[[#This Row],[實際應付]]</f>
        <v/>
      </c>
      <c r="J40" s="3" t="n"/>
      <c r="K40" s="3" t="n"/>
      <c r="L40" s="3">
        <f>L39+表4[[#This Row],[未入餘額]]-表4[[#This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表4[[#This Row],[支出]]-表4[[#This Row],[提前扣款]]</f>
        <v/>
      </c>
      <c r="I41" s="3">
        <f>表4[[#This Row],[實際應付]]</f>
        <v/>
      </c>
      <c r="J41" s="3" t="n"/>
      <c r="K41" s="3" t="n"/>
      <c r="L41" s="3">
        <f>L40+表4[[#This Row],[未入餘額]]-表4[[#This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表4[[#This Row],[支出]]-表4[[#This Row],[提前扣款]]</f>
        <v/>
      </c>
      <c r="I42" s="3">
        <f>表4[[#This Row],[實際應付]]</f>
        <v/>
      </c>
      <c r="J42" s="3" t="n"/>
      <c r="K42" s="3" t="n"/>
      <c r="L42" s="3">
        <f>L41+表4[[#This Row],[未入餘額]]-表4[[#This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表4[[#This Row],[支出]]-表4[[#This Row],[提前扣款]]</f>
        <v/>
      </c>
      <c r="I43" s="3">
        <f>表4[[#This Row],[實際應付]]</f>
        <v/>
      </c>
      <c r="J43" s="3" t="n"/>
      <c r="K43" s="3" t="n"/>
      <c r="L43" s="3">
        <f>L42+表4[[#This Row],[未入餘額]]-表4[[#This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表4[[#This Row],[支出]]-表4[[#This Row],[提前扣款]]</f>
        <v/>
      </c>
      <c r="I44" s="3">
        <f>表4[[#This Row],[實際應付]]</f>
        <v/>
      </c>
      <c r="J44" s="3" t="n"/>
      <c r="K44" s="3" t="n"/>
      <c r="L44" s="3">
        <f>L43+表4[[#This Row],[未入餘額]]-表4[[#This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表4[[#This Row],[支出]]-表4[[#This Row],[提前扣款]]</f>
        <v/>
      </c>
      <c r="I45" s="3">
        <f>表4[[#This Row],[實際應付]]</f>
        <v/>
      </c>
      <c r="J45" s="3" t="n"/>
      <c r="K45" s="3" t="n"/>
      <c r="L45" s="3">
        <f>L44+表4[[#This Row],[未入餘額]]-表4[[#This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表4[[#This Row],[支出]]-表4[[#This Row],[提前扣款]]</f>
        <v/>
      </c>
      <c r="I46" s="3">
        <f>表4[[#This Row],[實際應付]]</f>
        <v/>
      </c>
      <c r="J46" s="3" t="n"/>
      <c r="K46" s="3" t="n"/>
      <c r="L46" s="3">
        <f>L45+表4[[#This Row],[未入餘額]]-表4[[#This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3480000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表5[[#This Row],[支出]]-表5[[#This Row],[提前扣款]]</f>
        <v/>
      </c>
      <c r="I2" s="3">
        <f>表5[[#This Row],[實際應付]]</f>
        <v/>
      </c>
      <c r="J2" s="3" t="n"/>
      <c r="K2" s="3" t="n"/>
      <c r="L2" s="3">
        <f>$P$1+表5[[#This Row],[未入餘額]]-表5[[#This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表5[[#This Row],[支出]]-表5[[#This Row],[提前扣款]]</f>
        <v/>
      </c>
      <c r="I3" s="3">
        <f>表5[[#This Row],[實際應付]]</f>
        <v/>
      </c>
      <c r="J3" s="3" t="n"/>
      <c r="K3" s="3" t="n"/>
      <c r="L3" s="3">
        <f>L2+表5[[#This Row],[未入餘額]]-表5[[#This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表5[[#This Row],[支出]]-表5[[#This Row],[提前扣款]]</f>
        <v/>
      </c>
      <c r="I4" s="3">
        <f>表5[[#This Row],[實際應付]]</f>
        <v/>
      </c>
      <c r="J4" s="3" t="n"/>
      <c r="K4" s="3" t="n"/>
      <c r="L4" s="3">
        <f>L3+表5[[#This Row],[未入餘額]]-表5[[#This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表5[[#This Row],[支出]]-表5[[#This Row],[提前扣款]]</f>
        <v/>
      </c>
      <c r="I5" s="3">
        <f>表5[[#This Row],[實際應付]]</f>
        <v/>
      </c>
      <c r="J5" s="3" t="n"/>
      <c r="K5" s="3" t="n"/>
      <c r="L5" s="3">
        <f>L4+表5[[#This Row],[未入餘額]]-表5[[#This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表5[[#This Row],[支出]]-表5[[#This Row],[提前扣款]]</f>
        <v/>
      </c>
      <c r="I6" s="3">
        <f>表5[[#This Row],[實際應付]]</f>
        <v/>
      </c>
      <c r="J6" s="3" t="n"/>
      <c r="K6" s="3" t="n"/>
      <c r="L6" s="3">
        <f>L5+表5[[#This Row],[未入餘額]]-表5[[#This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表5[[#This Row],[支出]]-表5[[#This Row],[提前扣款]]</f>
        <v/>
      </c>
      <c r="I7" s="3">
        <f>表5[[#This Row],[實際應付]]</f>
        <v/>
      </c>
      <c r="J7" s="3" t="n"/>
      <c r="K7" s="3" t="n"/>
      <c r="L7" s="3">
        <f>L6+表5[[#This Row],[未入餘額]]-表5[[#This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表5[[#This Row],[支出]]-表5[[#This Row],[提前扣款]]</f>
        <v/>
      </c>
      <c r="I8" s="3">
        <f>表5[[#This Row],[實際應付]]</f>
        <v/>
      </c>
      <c r="J8" s="3" t="n"/>
      <c r="K8" s="3" t="n"/>
      <c r="L8" s="3">
        <f>L7+表5[[#This Row],[未入餘額]]-表5[[#This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表5[[#This Row],[支出]]-表5[[#This Row],[提前扣款]]</f>
        <v/>
      </c>
      <c r="I9" s="3">
        <f>表5[[#This Row],[實際應付]]</f>
        <v/>
      </c>
      <c r="J9" s="3" t="n"/>
      <c r="K9" s="3" t="n"/>
      <c r="L9" s="3">
        <f>L8+表5[[#This Row],[未入餘額]]-表5[[#This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表5[[#This Row],[支出]]-表5[[#This Row],[提前扣款]]</f>
        <v/>
      </c>
      <c r="I10" s="3">
        <f>表5[[#This Row],[實際應付]]</f>
        <v/>
      </c>
      <c r="J10" s="3" t="n"/>
      <c r="K10" s="3" t="n"/>
      <c r="L10" s="3">
        <f>L9+表5[[#This Row],[未入餘額]]-表5[[#This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表5[[#This Row],[支出]]-表5[[#This Row],[提前扣款]]</f>
        <v/>
      </c>
      <c r="I11" s="3">
        <f>表5[[#This Row],[實際應付]]</f>
        <v/>
      </c>
      <c r="J11" s="3" t="n"/>
      <c r="K11" s="3" t="n"/>
      <c r="L11" s="3">
        <f>L10+表5[[#This Row],[未入餘額]]-表5[[#This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表5[[#This Row],[支出]]-表5[[#This Row],[提前扣款]]</f>
        <v/>
      </c>
      <c r="I12" s="3">
        <f>表5[[#This Row],[實際應付]]</f>
        <v/>
      </c>
      <c r="J12" s="3" t="n"/>
      <c r="K12" s="3" t="n"/>
      <c r="L12" s="3">
        <f>L11+表5[[#This Row],[未入餘額]]-表5[[#This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表5[[#This Row],[支出]]-表5[[#This Row],[提前扣款]]</f>
        <v/>
      </c>
      <c r="I13" s="3">
        <f>表5[[#This Row],[實際應付]]</f>
        <v/>
      </c>
      <c r="J13" s="3" t="n"/>
      <c r="K13" s="3" t="n"/>
      <c r="L13" s="3">
        <f>L12+表5[[#This Row],[未入餘額]]-表5[[#This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表5[[#This Row],[支出]]-表5[[#This Row],[提前扣款]]</f>
        <v/>
      </c>
      <c r="I14" s="3">
        <f>表5[[#This Row],[實際應付]]</f>
        <v/>
      </c>
      <c r="J14" s="3" t="n"/>
      <c r="K14" s="3" t="n"/>
      <c r="L14" s="3">
        <f>L13+表5[[#This Row],[未入餘額]]-表5[[#This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表5[[#This Row],[支出]]-表5[[#This Row],[提前扣款]]</f>
        <v/>
      </c>
      <c r="I15" s="3">
        <f>表5[[#This Row],[實際應付]]</f>
        <v/>
      </c>
      <c r="J15" s="3" t="n"/>
      <c r="K15" s="3" t="n"/>
      <c r="L15" s="3">
        <f>L14+表5[[#This Row],[未入餘額]]-表5[[#This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表5[[#This Row],[支出]]-表5[[#This Row],[提前扣款]]</f>
        <v/>
      </c>
      <c r="I16" s="3">
        <f>表5[[#This Row],[實際應付]]</f>
        <v/>
      </c>
      <c r="J16" s="3" t="n"/>
      <c r="K16" s="3" t="n"/>
      <c r="L16" s="3">
        <f>L15+表5[[#This Row],[未入餘額]]-表5[[#This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表5[[#This Row],[支出]]-表5[[#This Row],[提前扣款]]</f>
        <v/>
      </c>
      <c r="I17" s="3">
        <f>表5[[#This Row],[實際應付]]</f>
        <v/>
      </c>
      <c r="J17" s="3" t="n"/>
      <c r="K17" s="3" t="n"/>
      <c r="L17" s="3">
        <f>L16+表5[[#This Row],[未入餘額]]-表5[[#This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表5[[#This Row],[支出]]-表5[[#This Row],[提前扣款]]</f>
        <v/>
      </c>
      <c r="I18" s="3">
        <f>表5[[#This Row],[實際應付]]</f>
        <v/>
      </c>
      <c r="J18" s="3" t="n"/>
      <c r="K18" s="3" t="n"/>
      <c r="L18" s="3">
        <f>L17+表5[[#This Row],[未入餘額]]-表5[[#This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表5[[#This Row],[支出]]-表5[[#This Row],[提前扣款]]</f>
        <v/>
      </c>
      <c r="I19" s="3">
        <f>表5[[#This Row],[實際應付]]</f>
        <v/>
      </c>
      <c r="J19" s="3" t="n"/>
      <c r="K19" s="3" t="n"/>
      <c r="L19" s="3">
        <f>L18+表5[[#This Row],[未入餘額]]-表5[[#This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表5[[#This Row],[支出]]-表5[[#This Row],[提前扣款]]</f>
        <v/>
      </c>
      <c r="I20" s="3">
        <f>表5[[#This Row],[實際應付]]</f>
        <v/>
      </c>
      <c r="J20" s="3" t="n"/>
      <c r="K20" s="3" t="n"/>
      <c r="L20" s="3">
        <f>L19+表5[[#This Row],[未入餘額]]-表5[[#This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表5[[#This Row],[支出]]-表5[[#This Row],[提前扣款]]</f>
        <v/>
      </c>
      <c r="I21" s="3">
        <f>表5[[#This Row],[實際應付]]</f>
        <v/>
      </c>
      <c r="J21" s="3" t="n"/>
      <c r="K21" s="3" t="n"/>
      <c r="L21" s="3">
        <f>L20+表5[[#This Row],[未入餘額]]-表5[[#This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表5[[#This Row],[支出]]-表5[[#This Row],[提前扣款]]</f>
        <v/>
      </c>
      <c r="I22" s="3">
        <f>表5[[#This Row],[實際應付]]</f>
        <v/>
      </c>
      <c r="J22" s="3" t="n"/>
      <c r="K22" s="3" t="n"/>
      <c r="L22" s="3">
        <f>L21+表5[[#This Row],[未入餘額]]-表5[[#This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表5[[#This Row],[支出]]-表5[[#This Row],[提前扣款]]</f>
        <v/>
      </c>
      <c r="I23" s="3">
        <f>表5[[#This Row],[實際應付]]</f>
        <v/>
      </c>
      <c r="J23" s="3" t="n"/>
      <c r="K23" s="3" t="n"/>
      <c r="L23" s="3">
        <f>L22+表5[[#This Row],[未入餘額]]-表5[[#This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表5[[#This Row],[支出]]-表5[[#This Row],[提前扣款]]</f>
        <v/>
      </c>
      <c r="I24" s="3">
        <f>表5[[#This Row],[實際應付]]</f>
        <v/>
      </c>
      <c r="J24" s="3" t="n"/>
      <c r="K24" s="3" t="n"/>
      <c r="L24" s="3">
        <f>L23+表5[[#This Row],[未入餘額]]-表5[[#This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表5[[#This Row],[支出]]-表5[[#This Row],[提前扣款]]</f>
        <v/>
      </c>
      <c r="I25" s="3">
        <f>表5[[#This Row],[實際應付]]</f>
        <v/>
      </c>
      <c r="J25" s="3" t="n"/>
      <c r="K25" s="3" t="n"/>
      <c r="L25" s="3">
        <f>L24+表5[[#This Row],[未入餘額]]-表5[[#This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表5[[#This Row],[支出]]-表5[[#This Row],[提前扣款]]</f>
        <v/>
      </c>
      <c r="I26" s="3">
        <f>表5[[#This Row],[實際應付]]</f>
        <v/>
      </c>
      <c r="J26" s="3" t="n"/>
      <c r="K26" s="3" t="n"/>
      <c r="L26" s="3">
        <f>L25+表5[[#This Row],[未入餘額]]-表5[[#This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表5[[#This Row],[支出]]-表5[[#This Row],[提前扣款]]</f>
        <v/>
      </c>
      <c r="I27" s="3">
        <f>表5[[#This Row],[實際應付]]</f>
        <v/>
      </c>
      <c r="J27" s="3" t="n"/>
      <c r="K27" s="3" t="n"/>
      <c r="L27" s="3">
        <f>L26+表5[[#This Row],[未入餘額]]-表5[[#This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表5[[#This Row],[支出]]-表5[[#This Row],[提前扣款]]</f>
        <v/>
      </c>
      <c r="I28" s="3">
        <f>表5[[#This Row],[實際應付]]</f>
        <v/>
      </c>
      <c r="J28" s="3" t="n"/>
      <c r="K28" s="3" t="n"/>
      <c r="L28" s="3">
        <f>L27+表5[[#This Row],[未入餘額]]-表5[[#This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表5[[#This Row],[支出]]-表5[[#This Row],[提前扣款]]</f>
        <v/>
      </c>
      <c r="I29" s="3">
        <f>表5[[#This Row],[實際應付]]</f>
        <v/>
      </c>
      <c r="J29" s="3" t="n"/>
      <c r="K29" s="3" t="n"/>
      <c r="L29" s="3">
        <f>L28+表5[[#This Row],[未入餘額]]-表5[[#This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表5[[#This Row],[支出]]-表5[[#This Row],[提前扣款]]</f>
        <v/>
      </c>
      <c r="I30" s="3">
        <f>表5[[#This Row],[實際應付]]</f>
        <v/>
      </c>
      <c r="J30" s="3" t="n"/>
      <c r="K30" s="3" t="n"/>
      <c r="L30" s="3">
        <f>L29+表5[[#This Row],[未入餘額]]-表5[[#This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表5[[#This Row],[支出]]-表5[[#This Row],[提前扣款]]</f>
        <v/>
      </c>
      <c r="I31" s="3">
        <f>表5[[#This Row],[實際應付]]</f>
        <v/>
      </c>
      <c r="J31" s="3" t="n"/>
      <c r="K31" s="3" t="n"/>
      <c r="L31" s="3">
        <f>L30+表5[[#This Row],[未入餘額]]-表5[[#This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表5[[#This Row],[支出]]-表5[[#This Row],[提前扣款]]</f>
        <v/>
      </c>
      <c r="I32" s="3">
        <f>表5[[#This Row],[實際應付]]</f>
        <v/>
      </c>
      <c r="J32" s="3" t="n"/>
      <c r="K32" s="3" t="n"/>
      <c r="L32" s="3">
        <f>L31+表5[[#This Row],[未入餘額]]-表5[[#This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表5[[#This Row],[支出]]-表5[[#This Row],[提前扣款]]</f>
        <v/>
      </c>
      <c r="I33" s="3">
        <f>表5[[#This Row],[實際應付]]</f>
        <v/>
      </c>
      <c r="J33" s="3" t="n"/>
      <c r="K33" s="3" t="n"/>
      <c r="L33" s="3">
        <f>L32+表5[[#This Row],[未入餘額]]-表5[[#This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表5[[#This Row],[支出]]-表5[[#This Row],[提前扣款]]</f>
        <v/>
      </c>
      <c r="I34" s="3">
        <f>表5[[#This Row],[實際應付]]</f>
        <v/>
      </c>
      <c r="J34" s="3" t="n"/>
      <c r="K34" s="3" t="n"/>
      <c r="L34" s="3">
        <f>L33+表5[[#This Row],[未入餘額]]-表5[[#This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表5[[#This Row],[支出]]-表5[[#This Row],[提前扣款]]</f>
        <v/>
      </c>
      <c r="I35" s="3">
        <f>表5[[#This Row],[實際應付]]</f>
        <v/>
      </c>
      <c r="J35" s="3" t="n"/>
      <c r="K35" s="3" t="n"/>
      <c r="L35" s="3">
        <f>L34+表5[[#This Row],[未入餘額]]-表5[[#This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表5[[#This Row],[支出]]-表5[[#This Row],[提前扣款]]</f>
        <v/>
      </c>
      <c r="I36" s="3">
        <f>表5[[#This Row],[實際應付]]</f>
        <v/>
      </c>
      <c r="J36" s="3" t="n"/>
      <c r="K36" s="3" t="n"/>
      <c r="L36" s="3">
        <f>L35+表5[[#This Row],[未入餘額]]-表5[[#This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表5[[#This Row],[支出]]-表5[[#This Row],[提前扣款]]</f>
        <v/>
      </c>
      <c r="I37" s="3">
        <f>表5[[#This Row],[實際應付]]</f>
        <v/>
      </c>
      <c r="J37" s="3" t="n"/>
      <c r="K37" s="3" t="n"/>
      <c r="L37" s="3">
        <f>L36+表5[[#This Row],[未入餘額]]-表5[[#This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表5[[#This Row],[支出]]-表5[[#This Row],[提前扣款]]</f>
        <v/>
      </c>
      <c r="I38" s="3">
        <f>表5[[#This Row],[實際應付]]</f>
        <v/>
      </c>
      <c r="J38" s="3" t="n"/>
      <c r="K38" s="3" t="n"/>
      <c r="L38" s="3">
        <f>L37+表5[[#This Row],[未入餘額]]-表5[[#This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表5[[#This Row],[支出]]-表5[[#This Row],[提前扣款]]</f>
        <v/>
      </c>
      <c r="I39" s="3">
        <f>表5[[#This Row],[實際應付]]</f>
        <v/>
      </c>
      <c r="J39" s="3" t="n"/>
      <c r="K39" s="3" t="n"/>
      <c r="L39" s="3">
        <f>L38+表5[[#This Row],[未入餘額]]-表5[[#This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表5[[#This Row],[支出]]-表5[[#This Row],[提前扣款]]</f>
        <v/>
      </c>
      <c r="I40" s="3">
        <f>表5[[#This Row],[實際應付]]</f>
        <v/>
      </c>
      <c r="J40" s="3" t="n"/>
      <c r="K40" s="3" t="n"/>
      <c r="L40" s="3">
        <f>L39+表5[[#This Row],[未入餘額]]-表5[[#This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表5[[#This Row],[支出]]-表5[[#This Row],[提前扣款]]</f>
        <v/>
      </c>
      <c r="I41" s="3">
        <f>表5[[#This Row],[實際應付]]</f>
        <v/>
      </c>
      <c r="J41" s="3" t="n"/>
      <c r="K41" s="3" t="n"/>
      <c r="L41" s="3">
        <f>L40+表5[[#This Row],[未入餘額]]-表5[[#This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表5[[#This Row],[支出]]-表5[[#This Row],[提前扣款]]</f>
        <v/>
      </c>
      <c r="I42" s="3">
        <f>表5[[#This Row],[實際應付]]</f>
        <v/>
      </c>
      <c r="J42" s="3" t="n"/>
      <c r="K42" s="3" t="n"/>
      <c r="L42" s="3">
        <f>L41+表5[[#This Row],[未入餘額]]-表5[[#This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表5[[#This Row],[支出]]-表5[[#This Row],[提前扣款]]</f>
        <v/>
      </c>
      <c r="I43" s="3">
        <f>表5[[#This Row],[實際應付]]</f>
        <v/>
      </c>
      <c r="J43" s="3" t="n"/>
      <c r="K43" s="3" t="n"/>
      <c r="L43" s="3">
        <f>L42+表5[[#This Row],[未入餘額]]-表5[[#This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表5[[#This Row],[支出]]-表5[[#This Row],[提前扣款]]</f>
        <v/>
      </c>
      <c r="I44" s="3">
        <f>表5[[#This Row],[實際應付]]</f>
        <v/>
      </c>
      <c r="J44" s="3" t="n"/>
      <c r="K44" s="3" t="n"/>
      <c r="L44" s="3">
        <f>L43+表5[[#This Row],[未入餘額]]-表5[[#This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表5[[#This Row],[支出]]-表5[[#This Row],[提前扣款]]</f>
        <v/>
      </c>
      <c r="I45" s="3">
        <f>表5[[#This Row],[實際應付]]</f>
        <v/>
      </c>
      <c r="J45" s="3" t="n"/>
      <c r="K45" s="3" t="n"/>
      <c r="L45" s="3">
        <f>L44+表5[[#This Row],[未入餘額]]-表5[[#This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表5[[#This Row],[支出]]-表5[[#This Row],[提前扣款]]</f>
        <v/>
      </c>
      <c r="I46" s="3">
        <f>表5[[#This Row],[實際應付]]</f>
        <v/>
      </c>
      <c r="J46" s="3" t="n"/>
      <c r="K46" s="3" t="n"/>
      <c r="L46" s="3">
        <f>L45+表5[[#This Row],[未入餘額]]-表5[[#This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3600000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表6[[#This Row],[支出]]-表6[[#This Row],[提前扣款]]</f>
        <v/>
      </c>
      <c r="I2" s="3">
        <f>表6[[#This Row],[實際應付]]</f>
        <v/>
      </c>
      <c r="J2" s="3" t="n"/>
      <c r="K2" s="3" t="n"/>
      <c r="L2" s="3">
        <f>$P$1+表6[[#This Row],[未入餘額]]-表6[[#This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表6[[#This Row],[支出]]-表6[[#This Row],[提前扣款]]</f>
        <v/>
      </c>
      <c r="I3" s="3">
        <f>表6[[#This Row],[實際應付]]</f>
        <v/>
      </c>
      <c r="J3" s="3" t="n"/>
      <c r="K3" s="3" t="n"/>
      <c r="L3" s="3">
        <f>L2+表6[[#This Row],[未入餘額]]-表6[[#This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表6[[#This Row],[支出]]-表6[[#This Row],[提前扣款]]</f>
        <v/>
      </c>
      <c r="I4" s="3">
        <f>表6[[#This Row],[實際應付]]</f>
        <v/>
      </c>
      <c r="J4" s="3" t="n"/>
      <c r="K4" s="3" t="n"/>
      <c r="L4" s="3">
        <f>L3+表6[[#This Row],[未入餘額]]-表6[[#This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表6[[#This Row],[支出]]-表6[[#This Row],[提前扣款]]</f>
        <v/>
      </c>
      <c r="I5" s="3">
        <f>表6[[#This Row],[實際應付]]</f>
        <v/>
      </c>
      <c r="J5" s="3" t="n"/>
      <c r="K5" s="3" t="n"/>
      <c r="L5" s="3">
        <f>L4+表6[[#This Row],[未入餘額]]-表6[[#This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表6[[#This Row],[支出]]-表6[[#This Row],[提前扣款]]</f>
        <v/>
      </c>
      <c r="I6" s="3">
        <f>表6[[#This Row],[實際應付]]</f>
        <v/>
      </c>
      <c r="J6" s="3" t="n"/>
      <c r="K6" s="3" t="n"/>
      <c r="L6" s="3">
        <f>L5+表6[[#This Row],[未入餘額]]-表6[[#This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表6[[#This Row],[支出]]-表6[[#This Row],[提前扣款]]</f>
        <v/>
      </c>
      <c r="I7" s="3">
        <f>表6[[#This Row],[實際應付]]</f>
        <v/>
      </c>
      <c r="J7" s="3" t="n"/>
      <c r="K7" s="3" t="n"/>
      <c r="L7" s="3">
        <f>L6+表6[[#This Row],[未入餘額]]-表6[[#This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表6[[#This Row],[支出]]-表6[[#This Row],[提前扣款]]</f>
        <v/>
      </c>
      <c r="I8" s="3">
        <f>表6[[#This Row],[實際應付]]</f>
        <v/>
      </c>
      <c r="J8" s="3" t="n"/>
      <c r="K8" s="3" t="n"/>
      <c r="L8" s="3">
        <f>L7+表6[[#This Row],[未入餘額]]-表6[[#This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表6[[#This Row],[支出]]-表6[[#This Row],[提前扣款]]</f>
        <v/>
      </c>
      <c r="I9" s="3">
        <f>表6[[#This Row],[實際應付]]</f>
        <v/>
      </c>
      <c r="J9" s="3" t="n"/>
      <c r="K9" s="3" t="n"/>
      <c r="L9" s="3">
        <f>L8+表6[[#This Row],[未入餘額]]-表6[[#This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表6[[#This Row],[支出]]-表6[[#This Row],[提前扣款]]</f>
        <v/>
      </c>
      <c r="I10" s="3">
        <f>表6[[#This Row],[實際應付]]</f>
        <v/>
      </c>
      <c r="J10" s="3" t="n"/>
      <c r="K10" s="3" t="n"/>
      <c r="L10" s="3">
        <f>L9+表6[[#This Row],[未入餘額]]-表6[[#This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表6[[#This Row],[支出]]-表6[[#This Row],[提前扣款]]</f>
        <v/>
      </c>
      <c r="I11" s="3">
        <f>表6[[#This Row],[實際應付]]</f>
        <v/>
      </c>
      <c r="J11" s="3" t="n"/>
      <c r="K11" s="3" t="n"/>
      <c r="L11" s="3">
        <f>L10+表6[[#This Row],[未入餘額]]-表6[[#This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表6[[#This Row],[支出]]-表6[[#This Row],[提前扣款]]</f>
        <v/>
      </c>
      <c r="I12" s="3">
        <f>表6[[#This Row],[實際應付]]</f>
        <v/>
      </c>
      <c r="J12" s="3" t="n"/>
      <c r="K12" s="3" t="n"/>
      <c r="L12" s="3">
        <f>L11+表6[[#This Row],[未入餘額]]-表6[[#This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表6[[#This Row],[支出]]-表6[[#This Row],[提前扣款]]</f>
        <v/>
      </c>
      <c r="I13" s="3">
        <f>表6[[#This Row],[實際應付]]</f>
        <v/>
      </c>
      <c r="J13" s="3" t="n"/>
      <c r="K13" s="3" t="n"/>
      <c r="L13" s="3">
        <f>L12+表6[[#This Row],[未入餘額]]-表6[[#This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表6[[#This Row],[支出]]-表6[[#This Row],[提前扣款]]</f>
        <v/>
      </c>
      <c r="I14" s="3">
        <f>表6[[#This Row],[實際應付]]</f>
        <v/>
      </c>
      <c r="J14" s="3" t="n"/>
      <c r="K14" s="3" t="n"/>
      <c r="L14" s="3">
        <f>L13+表6[[#This Row],[未入餘額]]-表6[[#This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表6[[#This Row],[支出]]-表6[[#This Row],[提前扣款]]</f>
        <v/>
      </c>
      <c r="I15" s="3">
        <f>表6[[#This Row],[實際應付]]</f>
        <v/>
      </c>
      <c r="J15" s="3" t="n"/>
      <c r="K15" s="3" t="n"/>
      <c r="L15" s="3">
        <f>L14+表6[[#This Row],[未入餘額]]-表6[[#This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表6[[#This Row],[支出]]-表6[[#This Row],[提前扣款]]</f>
        <v/>
      </c>
      <c r="I16" s="3">
        <f>表6[[#This Row],[實際應付]]</f>
        <v/>
      </c>
      <c r="J16" s="3" t="n"/>
      <c r="K16" s="3" t="n"/>
      <c r="L16" s="3">
        <f>L15+表6[[#This Row],[未入餘額]]-表6[[#This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表6[[#This Row],[支出]]-表6[[#This Row],[提前扣款]]</f>
        <v/>
      </c>
      <c r="I17" s="3">
        <f>表6[[#This Row],[實際應付]]</f>
        <v/>
      </c>
      <c r="J17" s="3" t="n"/>
      <c r="K17" s="3" t="n"/>
      <c r="L17" s="3">
        <f>L16+表6[[#This Row],[未入餘額]]-表6[[#This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表6[[#This Row],[支出]]-表6[[#This Row],[提前扣款]]</f>
        <v/>
      </c>
      <c r="I18" s="3">
        <f>表6[[#This Row],[實際應付]]</f>
        <v/>
      </c>
      <c r="J18" s="3" t="n"/>
      <c r="K18" s="3" t="n"/>
      <c r="L18" s="3">
        <f>L17+表6[[#This Row],[未入餘額]]-表6[[#This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表6[[#This Row],[支出]]-表6[[#This Row],[提前扣款]]</f>
        <v/>
      </c>
      <c r="I19" s="3">
        <f>表6[[#This Row],[實際應付]]</f>
        <v/>
      </c>
      <c r="J19" s="3" t="n"/>
      <c r="K19" s="3" t="n"/>
      <c r="L19" s="3">
        <f>L18+表6[[#This Row],[未入餘額]]-表6[[#This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表6[[#This Row],[支出]]-表6[[#This Row],[提前扣款]]</f>
        <v/>
      </c>
      <c r="I20" s="3">
        <f>表6[[#This Row],[實際應付]]</f>
        <v/>
      </c>
      <c r="J20" s="3" t="n"/>
      <c r="K20" s="3" t="n"/>
      <c r="L20" s="3">
        <f>L19+表6[[#This Row],[未入餘額]]-表6[[#This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表6[[#This Row],[支出]]-表6[[#This Row],[提前扣款]]</f>
        <v/>
      </c>
      <c r="I21" s="3">
        <f>表6[[#This Row],[實際應付]]</f>
        <v/>
      </c>
      <c r="J21" s="3" t="n"/>
      <c r="K21" s="3" t="n"/>
      <c r="L21" s="3">
        <f>L20+表6[[#This Row],[未入餘額]]-表6[[#This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表6[[#This Row],[支出]]-表6[[#This Row],[提前扣款]]</f>
        <v/>
      </c>
      <c r="I22" s="3">
        <f>表6[[#This Row],[實際應付]]</f>
        <v/>
      </c>
      <c r="J22" s="3" t="n"/>
      <c r="K22" s="3" t="n"/>
      <c r="L22" s="3">
        <f>L21+表6[[#This Row],[未入餘額]]-表6[[#This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表6[[#This Row],[支出]]-表6[[#This Row],[提前扣款]]</f>
        <v/>
      </c>
      <c r="I23" s="3">
        <f>表6[[#This Row],[實際應付]]</f>
        <v/>
      </c>
      <c r="J23" s="3" t="n"/>
      <c r="K23" s="3" t="n"/>
      <c r="L23" s="3">
        <f>L22+表6[[#This Row],[未入餘額]]-表6[[#This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表6[[#This Row],[支出]]-表6[[#This Row],[提前扣款]]</f>
        <v/>
      </c>
      <c r="I24" s="3">
        <f>表6[[#This Row],[實際應付]]</f>
        <v/>
      </c>
      <c r="J24" s="3" t="n"/>
      <c r="K24" s="3" t="n"/>
      <c r="L24" s="3">
        <f>L23+表6[[#This Row],[未入餘額]]-表6[[#This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表6[[#This Row],[支出]]-表6[[#This Row],[提前扣款]]</f>
        <v/>
      </c>
      <c r="I25" s="3">
        <f>表6[[#This Row],[實際應付]]</f>
        <v/>
      </c>
      <c r="J25" s="3" t="n"/>
      <c r="K25" s="3" t="n"/>
      <c r="L25" s="3">
        <f>L24+表6[[#This Row],[未入餘額]]-表6[[#This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表6[[#This Row],[支出]]-表6[[#This Row],[提前扣款]]</f>
        <v/>
      </c>
      <c r="I26" s="3">
        <f>表6[[#This Row],[實際應付]]</f>
        <v/>
      </c>
      <c r="J26" s="3" t="n"/>
      <c r="K26" s="3" t="n"/>
      <c r="L26" s="3">
        <f>L25+表6[[#This Row],[未入餘額]]-表6[[#This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表6[[#This Row],[支出]]-表6[[#This Row],[提前扣款]]</f>
        <v/>
      </c>
      <c r="I27" s="3">
        <f>表6[[#This Row],[實際應付]]</f>
        <v/>
      </c>
      <c r="J27" s="3" t="n"/>
      <c r="K27" s="3" t="n"/>
      <c r="L27" s="3">
        <f>L26+表6[[#This Row],[未入餘額]]-表6[[#This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表6[[#This Row],[支出]]-表6[[#This Row],[提前扣款]]</f>
        <v/>
      </c>
      <c r="I28" s="3">
        <f>表6[[#This Row],[實際應付]]</f>
        <v/>
      </c>
      <c r="J28" s="3" t="n"/>
      <c r="K28" s="3" t="n"/>
      <c r="L28" s="3">
        <f>L27+表6[[#This Row],[未入餘額]]-表6[[#This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表6[[#This Row],[支出]]-表6[[#This Row],[提前扣款]]</f>
        <v/>
      </c>
      <c r="I29" s="3">
        <f>表6[[#This Row],[實際應付]]</f>
        <v/>
      </c>
      <c r="J29" s="3" t="n"/>
      <c r="K29" s="3" t="n"/>
      <c r="L29" s="3">
        <f>L28+表6[[#This Row],[未入餘額]]-表6[[#This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表6[[#This Row],[支出]]-表6[[#This Row],[提前扣款]]</f>
        <v/>
      </c>
      <c r="I30" s="3">
        <f>表6[[#This Row],[實際應付]]</f>
        <v/>
      </c>
      <c r="J30" s="3" t="n"/>
      <c r="K30" s="3" t="n"/>
      <c r="L30" s="3">
        <f>L29+表6[[#This Row],[未入餘額]]-表6[[#This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表6[[#This Row],[支出]]-表6[[#This Row],[提前扣款]]</f>
        <v/>
      </c>
      <c r="I31" s="3">
        <f>表6[[#This Row],[實際應付]]</f>
        <v/>
      </c>
      <c r="J31" s="3" t="n"/>
      <c r="K31" s="3" t="n"/>
      <c r="L31" s="3">
        <f>L30+表6[[#This Row],[未入餘額]]-表6[[#This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表6[[#This Row],[支出]]-表6[[#This Row],[提前扣款]]</f>
        <v/>
      </c>
      <c r="I32" s="3">
        <f>表6[[#This Row],[實際應付]]</f>
        <v/>
      </c>
      <c r="J32" s="3" t="n"/>
      <c r="K32" s="3" t="n"/>
      <c r="L32" s="3">
        <f>L31+表6[[#This Row],[未入餘額]]-表6[[#This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表6[[#This Row],[支出]]-表6[[#This Row],[提前扣款]]</f>
        <v/>
      </c>
      <c r="I33" s="3">
        <f>表6[[#This Row],[實際應付]]</f>
        <v/>
      </c>
      <c r="J33" s="3" t="n"/>
      <c r="K33" s="3" t="n"/>
      <c r="L33" s="3">
        <f>L32+表6[[#This Row],[未入餘額]]-表6[[#This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表6[[#This Row],[支出]]-表6[[#This Row],[提前扣款]]</f>
        <v/>
      </c>
      <c r="I34" s="3">
        <f>表6[[#This Row],[實際應付]]</f>
        <v/>
      </c>
      <c r="J34" s="3" t="n"/>
      <c r="K34" s="3" t="n"/>
      <c r="L34" s="3">
        <f>L33+表6[[#This Row],[未入餘額]]-表6[[#This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表6[[#This Row],[支出]]-表6[[#This Row],[提前扣款]]</f>
        <v/>
      </c>
      <c r="I35" s="3">
        <f>表6[[#This Row],[實際應付]]</f>
        <v/>
      </c>
      <c r="J35" s="3" t="n"/>
      <c r="K35" s="3" t="n"/>
      <c r="L35" s="3">
        <f>L34+表6[[#This Row],[未入餘額]]-表6[[#This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表6[[#This Row],[支出]]-表6[[#This Row],[提前扣款]]</f>
        <v/>
      </c>
      <c r="I36" s="3">
        <f>表6[[#This Row],[實際應付]]</f>
        <v/>
      </c>
      <c r="J36" s="3" t="n"/>
      <c r="K36" s="3" t="n"/>
      <c r="L36" s="3">
        <f>L35+表6[[#This Row],[未入餘額]]-表6[[#This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表6[[#This Row],[支出]]-表6[[#This Row],[提前扣款]]</f>
        <v/>
      </c>
      <c r="I37" s="3">
        <f>表6[[#This Row],[實際應付]]</f>
        <v/>
      </c>
      <c r="J37" s="3" t="n"/>
      <c r="K37" s="3" t="n"/>
      <c r="L37" s="3">
        <f>L36+表6[[#This Row],[未入餘額]]-表6[[#This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表6[[#This Row],[支出]]-表6[[#This Row],[提前扣款]]</f>
        <v/>
      </c>
      <c r="I38" s="3">
        <f>表6[[#This Row],[實際應付]]</f>
        <v/>
      </c>
      <c r="J38" s="3" t="n"/>
      <c r="K38" s="3" t="n"/>
      <c r="L38" s="3">
        <f>L37+表6[[#This Row],[未入餘額]]-表6[[#This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表6[[#This Row],[支出]]-表6[[#This Row],[提前扣款]]</f>
        <v/>
      </c>
      <c r="I39" s="3">
        <f>表6[[#This Row],[實際應付]]</f>
        <v/>
      </c>
      <c r="J39" s="3" t="n"/>
      <c r="K39" s="3" t="n"/>
      <c r="L39" s="3">
        <f>L38+表6[[#This Row],[未入餘額]]-表6[[#This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表6[[#This Row],[支出]]-表6[[#This Row],[提前扣款]]</f>
        <v/>
      </c>
      <c r="I40" s="3">
        <f>表6[[#This Row],[實際應付]]</f>
        <v/>
      </c>
      <c r="J40" s="3" t="n"/>
      <c r="K40" s="3" t="n"/>
      <c r="L40" s="3">
        <f>L39+表6[[#This Row],[未入餘額]]-表6[[#This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表6[[#This Row],[支出]]-表6[[#This Row],[提前扣款]]</f>
        <v/>
      </c>
      <c r="I41" s="3">
        <f>表6[[#This Row],[實際應付]]</f>
        <v/>
      </c>
      <c r="J41" s="3" t="n"/>
      <c r="K41" s="3" t="n"/>
      <c r="L41" s="3">
        <f>L40+表6[[#This Row],[未入餘額]]-表6[[#This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表6[[#This Row],[支出]]-表6[[#This Row],[提前扣款]]</f>
        <v/>
      </c>
      <c r="I42" s="3">
        <f>表6[[#This Row],[實際應付]]</f>
        <v/>
      </c>
      <c r="J42" s="3" t="n"/>
      <c r="K42" s="3" t="n"/>
      <c r="L42" s="3">
        <f>L41+表6[[#This Row],[未入餘額]]-表6[[#This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表6[[#This Row],[支出]]-表6[[#This Row],[提前扣款]]</f>
        <v/>
      </c>
      <c r="I43" s="3">
        <f>表6[[#This Row],[實際應付]]</f>
        <v/>
      </c>
      <c r="J43" s="3" t="n"/>
      <c r="K43" s="3" t="n"/>
      <c r="L43" s="3">
        <f>L42+表6[[#This Row],[未入餘額]]-表6[[#This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表6[[#This Row],[支出]]-表6[[#This Row],[提前扣款]]</f>
        <v/>
      </c>
      <c r="I44" s="3">
        <f>表6[[#This Row],[實際應付]]</f>
        <v/>
      </c>
      <c r="J44" s="3" t="n"/>
      <c r="K44" s="3" t="n"/>
      <c r="L44" s="3">
        <f>L43+表6[[#This Row],[未入餘額]]-表6[[#This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表6[[#This Row],[支出]]-表6[[#This Row],[提前扣款]]</f>
        <v/>
      </c>
      <c r="I45" s="3">
        <f>表6[[#This Row],[實際應付]]</f>
        <v/>
      </c>
      <c r="J45" s="3" t="n"/>
      <c r="K45" s="3" t="n"/>
      <c r="L45" s="3">
        <f>L44+表6[[#This Row],[未入餘額]]-表6[[#This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表6[[#This Row],[支出]]-表6[[#This Row],[提前扣款]]</f>
        <v/>
      </c>
      <c r="I46" s="3">
        <f>表6[[#This Row],[實際應付]]</f>
        <v/>
      </c>
      <c r="J46" s="3" t="n"/>
      <c r="K46" s="3" t="n"/>
      <c r="L46" s="3">
        <f>L45+表6[[#This Row],[未入餘額]]-表6[[#This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3720000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表7[[#This Row],[支出]]-表7[[#This Row],[提前扣款]]</f>
        <v/>
      </c>
      <c r="I2" s="3">
        <f>表7[[#This Row],[實際應付]]</f>
        <v/>
      </c>
      <c r="J2" s="3" t="n"/>
      <c r="K2" s="3" t="n"/>
      <c r="L2" s="3">
        <f>$P$1+表7[[#This Row],[未入餘額]]-表7[[#This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表7[[#This Row],[支出]]-表7[[#This Row],[提前扣款]]</f>
        <v/>
      </c>
      <c r="I3" s="3">
        <f>表7[[#This Row],[實際應付]]</f>
        <v/>
      </c>
      <c r="J3" s="3" t="n"/>
      <c r="K3" s="3" t="n"/>
      <c r="L3" s="3">
        <f>L2+表7[[#This Row],[未入餘額]]-表7[[#This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表7[[#This Row],[支出]]-表7[[#This Row],[提前扣款]]</f>
        <v/>
      </c>
      <c r="I4" s="3">
        <f>表7[[#This Row],[實際應付]]</f>
        <v/>
      </c>
      <c r="J4" s="3" t="n"/>
      <c r="K4" s="3" t="n"/>
      <c r="L4" s="3">
        <f>L3+表7[[#This Row],[未入餘額]]-表7[[#This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表7[[#This Row],[支出]]-表7[[#This Row],[提前扣款]]</f>
        <v/>
      </c>
      <c r="I5" s="3">
        <f>表7[[#This Row],[實際應付]]</f>
        <v/>
      </c>
      <c r="J5" s="3" t="n"/>
      <c r="K5" s="3" t="n"/>
      <c r="L5" s="3">
        <f>L4+表7[[#This Row],[未入餘額]]-表7[[#This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表7[[#This Row],[支出]]-表7[[#This Row],[提前扣款]]</f>
        <v/>
      </c>
      <c r="I6" s="3">
        <f>表7[[#This Row],[實際應付]]</f>
        <v/>
      </c>
      <c r="J6" s="3" t="n"/>
      <c r="K6" s="3" t="n"/>
      <c r="L6" s="3">
        <f>L5+表7[[#This Row],[未入餘額]]-表7[[#This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表7[[#This Row],[支出]]-表7[[#This Row],[提前扣款]]</f>
        <v/>
      </c>
      <c r="I7" s="3">
        <f>表7[[#This Row],[實際應付]]</f>
        <v/>
      </c>
      <c r="J7" s="3" t="n"/>
      <c r="K7" s="3" t="n"/>
      <c r="L7" s="3">
        <f>L6+表7[[#This Row],[未入餘額]]-表7[[#This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表7[[#This Row],[支出]]-表7[[#This Row],[提前扣款]]</f>
        <v/>
      </c>
      <c r="I8" s="3">
        <f>表7[[#This Row],[實際應付]]</f>
        <v/>
      </c>
      <c r="J8" s="3" t="n"/>
      <c r="K8" s="3" t="n"/>
      <c r="L8" s="3">
        <f>L7+表7[[#This Row],[未入餘額]]-表7[[#This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表7[[#This Row],[支出]]-表7[[#This Row],[提前扣款]]</f>
        <v/>
      </c>
      <c r="I9" s="3">
        <f>表7[[#This Row],[實際應付]]</f>
        <v/>
      </c>
      <c r="J9" s="3" t="n"/>
      <c r="K9" s="3" t="n"/>
      <c r="L9" s="3">
        <f>L8+表7[[#This Row],[未入餘額]]-表7[[#This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表7[[#This Row],[支出]]-表7[[#This Row],[提前扣款]]</f>
        <v/>
      </c>
      <c r="I10" s="3">
        <f>表7[[#This Row],[實際應付]]</f>
        <v/>
      </c>
      <c r="J10" s="3" t="n"/>
      <c r="K10" s="3" t="n"/>
      <c r="L10" s="3">
        <f>L9+表7[[#This Row],[未入餘額]]-表7[[#This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表7[[#This Row],[支出]]-表7[[#This Row],[提前扣款]]</f>
        <v/>
      </c>
      <c r="I11" s="3">
        <f>表7[[#This Row],[實際應付]]</f>
        <v/>
      </c>
      <c r="J11" s="3" t="n"/>
      <c r="K11" s="3" t="n"/>
      <c r="L11" s="3">
        <f>L10+表7[[#This Row],[未入餘額]]-表7[[#This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表7[[#This Row],[支出]]-表7[[#This Row],[提前扣款]]</f>
        <v/>
      </c>
      <c r="I12" s="3">
        <f>表7[[#This Row],[實際應付]]</f>
        <v/>
      </c>
      <c r="J12" s="3" t="n"/>
      <c r="K12" s="3" t="n"/>
      <c r="L12" s="3">
        <f>L11+表7[[#This Row],[未入餘額]]-表7[[#This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表7[[#This Row],[支出]]-表7[[#This Row],[提前扣款]]</f>
        <v/>
      </c>
      <c r="I13" s="3">
        <f>表7[[#This Row],[實際應付]]</f>
        <v/>
      </c>
      <c r="J13" s="3" t="n"/>
      <c r="K13" s="3" t="n"/>
      <c r="L13" s="3">
        <f>L12+表7[[#This Row],[未入餘額]]-表7[[#This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表7[[#This Row],[支出]]-表7[[#This Row],[提前扣款]]</f>
        <v/>
      </c>
      <c r="I14" s="3">
        <f>表7[[#This Row],[實際應付]]</f>
        <v/>
      </c>
      <c r="J14" s="3" t="n"/>
      <c r="K14" s="3" t="n"/>
      <c r="L14" s="3">
        <f>L13+表7[[#This Row],[未入餘額]]-表7[[#This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表7[[#This Row],[支出]]-表7[[#This Row],[提前扣款]]</f>
        <v/>
      </c>
      <c r="I15" s="3">
        <f>表7[[#This Row],[實際應付]]</f>
        <v/>
      </c>
      <c r="J15" s="3" t="n"/>
      <c r="K15" s="3" t="n"/>
      <c r="L15" s="3">
        <f>L14+表7[[#This Row],[未入餘額]]-表7[[#This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表7[[#This Row],[支出]]-表7[[#This Row],[提前扣款]]</f>
        <v/>
      </c>
      <c r="I16" s="3">
        <f>表7[[#This Row],[實際應付]]</f>
        <v/>
      </c>
      <c r="J16" s="3" t="n"/>
      <c r="K16" s="3" t="n"/>
      <c r="L16" s="3">
        <f>L15+表7[[#This Row],[未入餘額]]-表7[[#This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表7[[#This Row],[支出]]-表7[[#This Row],[提前扣款]]</f>
        <v/>
      </c>
      <c r="I17" s="3">
        <f>表7[[#This Row],[實際應付]]</f>
        <v/>
      </c>
      <c r="J17" s="3" t="n"/>
      <c r="K17" s="3" t="n"/>
      <c r="L17" s="3">
        <f>L16+表7[[#This Row],[未入餘額]]-表7[[#This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表7[[#This Row],[支出]]-表7[[#This Row],[提前扣款]]</f>
        <v/>
      </c>
      <c r="I18" s="3">
        <f>表7[[#This Row],[實際應付]]</f>
        <v/>
      </c>
      <c r="J18" s="3" t="n"/>
      <c r="K18" s="3" t="n"/>
      <c r="L18" s="3">
        <f>L17+表7[[#This Row],[未入餘額]]-表7[[#This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表7[[#This Row],[支出]]-表7[[#This Row],[提前扣款]]</f>
        <v/>
      </c>
      <c r="I19" s="3">
        <f>表7[[#This Row],[實際應付]]</f>
        <v/>
      </c>
      <c r="J19" s="3" t="n"/>
      <c r="K19" s="3" t="n"/>
      <c r="L19" s="3">
        <f>L18+表7[[#This Row],[未入餘額]]-表7[[#This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表7[[#This Row],[支出]]-表7[[#This Row],[提前扣款]]</f>
        <v/>
      </c>
      <c r="I20" s="3">
        <f>表7[[#This Row],[實際應付]]</f>
        <v/>
      </c>
      <c r="J20" s="3" t="n"/>
      <c r="K20" s="3" t="n"/>
      <c r="L20" s="3">
        <f>L19+表7[[#This Row],[未入餘額]]-表7[[#This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表7[[#This Row],[支出]]-表7[[#This Row],[提前扣款]]</f>
        <v/>
      </c>
      <c r="I21" s="3">
        <f>表7[[#This Row],[實際應付]]</f>
        <v/>
      </c>
      <c r="J21" s="3" t="n"/>
      <c r="K21" s="3" t="n"/>
      <c r="L21" s="3">
        <f>L20+表7[[#This Row],[未入餘額]]-表7[[#This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表7[[#This Row],[支出]]-表7[[#This Row],[提前扣款]]</f>
        <v/>
      </c>
      <c r="I22" s="3">
        <f>表7[[#This Row],[實際應付]]</f>
        <v/>
      </c>
      <c r="J22" s="3" t="n"/>
      <c r="K22" s="3" t="n"/>
      <c r="L22" s="3">
        <f>L21+表7[[#This Row],[未入餘額]]-表7[[#This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表7[[#This Row],[支出]]-表7[[#This Row],[提前扣款]]</f>
        <v/>
      </c>
      <c r="I23" s="3">
        <f>表7[[#This Row],[實際應付]]</f>
        <v/>
      </c>
      <c r="J23" s="3" t="n"/>
      <c r="K23" s="3" t="n"/>
      <c r="L23" s="3">
        <f>L22+表7[[#This Row],[未入餘額]]-表7[[#This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表7[[#This Row],[支出]]-表7[[#This Row],[提前扣款]]</f>
        <v/>
      </c>
      <c r="I24" s="3">
        <f>表7[[#This Row],[實際應付]]</f>
        <v/>
      </c>
      <c r="J24" s="3" t="n"/>
      <c r="K24" s="3" t="n"/>
      <c r="L24" s="3">
        <f>L23+表7[[#This Row],[未入餘額]]-表7[[#This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表7[[#This Row],[支出]]-表7[[#This Row],[提前扣款]]</f>
        <v/>
      </c>
      <c r="I25" s="3">
        <f>表7[[#This Row],[實際應付]]</f>
        <v/>
      </c>
      <c r="J25" s="3" t="n"/>
      <c r="K25" s="3" t="n"/>
      <c r="L25" s="3">
        <f>L24+表7[[#This Row],[未入餘額]]-表7[[#This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表7[[#This Row],[支出]]-表7[[#This Row],[提前扣款]]</f>
        <v/>
      </c>
      <c r="I26" s="3">
        <f>表7[[#This Row],[實際應付]]</f>
        <v/>
      </c>
      <c r="J26" s="3" t="n"/>
      <c r="K26" s="3" t="n"/>
      <c r="L26" s="3">
        <f>L25+表7[[#This Row],[未入餘額]]-表7[[#This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表7[[#This Row],[支出]]-表7[[#This Row],[提前扣款]]</f>
        <v/>
      </c>
      <c r="I27" s="3">
        <f>表7[[#This Row],[實際應付]]</f>
        <v/>
      </c>
      <c r="J27" s="3" t="n"/>
      <c r="K27" s="3" t="n"/>
      <c r="L27" s="3">
        <f>L26+表7[[#This Row],[未入餘額]]-表7[[#This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表7[[#This Row],[支出]]-表7[[#This Row],[提前扣款]]</f>
        <v/>
      </c>
      <c r="I28" s="3">
        <f>表7[[#This Row],[實際應付]]</f>
        <v/>
      </c>
      <c r="J28" s="3" t="n"/>
      <c r="K28" s="3" t="n"/>
      <c r="L28" s="3">
        <f>L27+表7[[#This Row],[未入餘額]]-表7[[#This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表7[[#This Row],[支出]]-表7[[#This Row],[提前扣款]]</f>
        <v/>
      </c>
      <c r="I29" s="3">
        <f>表7[[#This Row],[實際應付]]</f>
        <v/>
      </c>
      <c r="J29" s="3" t="n"/>
      <c r="K29" s="3" t="n"/>
      <c r="L29" s="3">
        <f>L28+表7[[#This Row],[未入餘額]]-表7[[#This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表7[[#This Row],[支出]]-表7[[#This Row],[提前扣款]]</f>
        <v/>
      </c>
      <c r="I30" s="3">
        <f>表7[[#This Row],[實際應付]]</f>
        <v/>
      </c>
      <c r="J30" s="3" t="n"/>
      <c r="K30" s="3" t="n"/>
      <c r="L30" s="3">
        <f>L29+表7[[#This Row],[未入餘額]]-表7[[#This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表7[[#This Row],[支出]]-表7[[#This Row],[提前扣款]]</f>
        <v/>
      </c>
      <c r="I31" s="3">
        <f>表7[[#This Row],[實際應付]]</f>
        <v/>
      </c>
      <c r="J31" s="3" t="n"/>
      <c r="K31" s="3" t="n"/>
      <c r="L31" s="3">
        <f>L30+表7[[#This Row],[未入餘額]]-表7[[#This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表7[[#This Row],[支出]]-表7[[#This Row],[提前扣款]]</f>
        <v/>
      </c>
      <c r="I32" s="3">
        <f>表7[[#This Row],[實際應付]]</f>
        <v/>
      </c>
      <c r="J32" s="3" t="n"/>
      <c r="K32" s="3" t="n"/>
      <c r="L32" s="3">
        <f>L31+表7[[#This Row],[未入餘額]]-表7[[#This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表7[[#This Row],[支出]]-表7[[#This Row],[提前扣款]]</f>
        <v/>
      </c>
      <c r="I33" s="3">
        <f>表7[[#This Row],[實際應付]]</f>
        <v/>
      </c>
      <c r="J33" s="3" t="n"/>
      <c r="K33" s="3" t="n"/>
      <c r="L33" s="3">
        <f>L32+表7[[#This Row],[未入餘額]]-表7[[#This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表7[[#This Row],[支出]]-表7[[#This Row],[提前扣款]]</f>
        <v/>
      </c>
      <c r="I34" s="3">
        <f>表7[[#This Row],[實際應付]]</f>
        <v/>
      </c>
      <c r="J34" s="3" t="n"/>
      <c r="K34" s="3" t="n"/>
      <c r="L34" s="3">
        <f>L33+表7[[#This Row],[未入餘額]]-表7[[#This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表7[[#This Row],[支出]]-表7[[#This Row],[提前扣款]]</f>
        <v/>
      </c>
      <c r="I35" s="3">
        <f>表7[[#This Row],[實際應付]]</f>
        <v/>
      </c>
      <c r="J35" s="3" t="n"/>
      <c r="K35" s="3" t="n"/>
      <c r="L35" s="3">
        <f>L34+表7[[#This Row],[未入餘額]]-表7[[#This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表7[[#This Row],[支出]]-表7[[#This Row],[提前扣款]]</f>
        <v/>
      </c>
      <c r="I36" s="3">
        <f>表7[[#This Row],[實際應付]]</f>
        <v/>
      </c>
      <c r="J36" s="3" t="n"/>
      <c r="K36" s="3" t="n"/>
      <c r="L36" s="3">
        <f>L35+表7[[#This Row],[未入餘額]]-表7[[#This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表7[[#This Row],[支出]]-表7[[#This Row],[提前扣款]]</f>
        <v/>
      </c>
      <c r="I37" s="3">
        <f>表7[[#This Row],[實際應付]]</f>
        <v/>
      </c>
      <c r="J37" s="3" t="n"/>
      <c r="K37" s="3" t="n"/>
      <c r="L37" s="3">
        <f>L36+表7[[#This Row],[未入餘額]]-表7[[#This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表7[[#This Row],[支出]]-表7[[#This Row],[提前扣款]]</f>
        <v/>
      </c>
      <c r="I38" s="3">
        <f>表7[[#This Row],[實際應付]]</f>
        <v/>
      </c>
      <c r="J38" s="3" t="n"/>
      <c r="K38" s="3" t="n"/>
      <c r="L38" s="3">
        <f>L37+表7[[#This Row],[未入餘額]]-表7[[#This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表7[[#This Row],[支出]]-表7[[#This Row],[提前扣款]]</f>
        <v/>
      </c>
      <c r="I39" s="3">
        <f>表7[[#This Row],[實際應付]]</f>
        <v/>
      </c>
      <c r="J39" s="3" t="n"/>
      <c r="K39" s="3" t="n"/>
      <c r="L39" s="3">
        <f>L38+表7[[#This Row],[未入餘額]]-表7[[#This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表7[[#This Row],[支出]]-表7[[#This Row],[提前扣款]]</f>
        <v/>
      </c>
      <c r="I40" s="3">
        <f>表7[[#This Row],[實際應付]]</f>
        <v/>
      </c>
      <c r="J40" s="3" t="n"/>
      <c r="K40" s="3" t="n"/>
      <c r="L40" s="3">
        <f>L39+表7[[#This Row],[未入餘額]]-表7[[#This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表7[[#This Row],[支出]]-表7[[#This Row],[提前扣款]]</f>
        <v/>
      </c>
      <c r="I41" s="3">
        <f>表7[[#This Row],[實際應付]]</f>
        <v/>
      </c>
      <c r="J41" s="3" t="n"/>
      <c r="K41" s="3" t="n"/>
      <c r="L41" s="3">
        <f>L40+表7[[#This Row],[未入餘額]]-表7[[#This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表7[[#This Row],[支出]]-表7[[#This Row],[提前扣款]]</f>
        <v/>
      </c>
      <c r="I42" s="3">
        <f>表7[[#This Row],[實際應付]]</f>
        <v/>
      </c>
      <c r="J42" s="3" t="n"/>
      <c r="K42" s="3" t="n"/>
      <c r="L42" s="3">
        <f>L41+表7[[#This Row],[未入餘額]]-表7[[#This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表7[[#This Row],[支出]]-表7[[#This Row],[提前扣款]]</f>
        <v/>
      </c>
      <c r="I43" s="3">
        <f>表7[[#This Row],[實際應付]]</f>
        <v/>
      </c>
      <c r="J43" s="3" t="n"/>
      <c r="K43" s="3" t="n"/>
      <c r="L43" s="3">
        <f>L42+表7[[#This Row],[未入餘額]]-表7[[#This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表7[[#This Row],[支出]]-表7[[#This Row],[提前扣款]]</f>
        <v/>
      </c>
      <c r="I44" s="3">
        <f>表7[[#This Row],[實際應付]]</f>
        <v/>
      </c>
      <c r="J44" s="3" t="n"/>
      <c r="K44" s="3" t="n"/>
      <c r="L44" s="3">
        <f>L43+表7[[#This Row],[未入餘額]]-表7[[#This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表7[[#This Row],[支出]]-表7[[#This Row],[提前扣款]]</f>
        <v/>
      </c>
      <c r="I45" s="3">
        <f>表7[[#This Row],[實際應付]]</f>
        <v/>
      </c>
      <c r="J45" s="3" t="n"/>
      <c r="K45" s="3" t="n"/>
      <c r="L45" s="3">
        <f>L44+表7[[#This Row],[未入餘額]]-表7[[#This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表7[[#This Row],[支出]]-表7[[#This Row],[提前扣款]]</f>
        <v/>
      </c>
      <c r="I46" s="3">
        <f>表7[[#This Row],[實際應付]]</f>
        <v/>
      </c>
      <c r="J46" s="3" t="n"/>
      <c r="K46" s="3" t="n"/>
      <c r="L46" s="3">
        <f>L45+表7[[#This Row],[未入餘額]]-表7[[#This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3840000</v>
      </c>
    </row>
    <row r="2">
      <c r="A2" s="2" t="n">
        <v>1</v>
      </c>
      <c r="B2" s="2">
        <f>IF(C2="","",TEXT(C2,"aaa"))</f>
        <v/>
      </c>
      <c r="C2" s="4" t="n">
        <v>46239</v>
      </c>
      <c r="D2" s="2" t="inlineStr">
        <is>
          <t>彰銀</t>
        </is>
      </c>
      <c r="E2" s="2" t="inlineStr">
        <is>
          <t>彰銀支存</t>
        </is>
      </c>
      <c r="F2" s="3" t="n">
        <v>386250</v>
      </c>
      <c r="G2" s="3" t="n"/>
      <c r="H2" s="3">
        <f>表8[[#This Row],[支出]]-表8[[#This Row],[提前扣款]]</f>
        <v/>
      </c>
      <c r="I2" s="3">
        <f>表8[[#This Row],[實際應付]]</f>
        <v/>
      </c>
      <c r="J2" s="3" t="n"/>
      <c r="K2" s="3" t="n"/>
      <c r="L2" s="3">
        <f>$P$1+表8[[#This Row],[未入餘額]]-表8[[#This Row],[應付餘額]]</f>
        <v/>
      </c>
      <c r="M2" s="2" t="inlineStr">
        <is>
          <t>QN7036338～340 三張</t>
        </is>
      </c>
    </row>
    <row r="3">
      <c r="A3" s="2" t="n">
        <v>2</v>
      </c>
      <c r="B3" s="2">
        <f>IF(C3="","",TEXT(C3,"aaa"))</f>
        <v/>
      </c>
      <c r="C3" s="4" t="n">
        <v>46244</v>
      </c>
      <c r="D3" s="2" t="inlineStr">
        <is>
          <t>彰銀</t>
        </is>
      </c>
      <c r="E3" s="2" t="inlineStr">
        <is>
          <t>彰銀交換</t>
        </is>
      </c>
      <c r="F3" s="3" t="n"/>
      <c r="G3" s="3" t="n"/>
      <c r="H3" s="3">
        <f>表8[[#This Row],[支出]]-表8[[#This Row],[提前扣款]]</f>
        <v/>
      </c>
      <c r="I3" s="3">
        <f>表8[[#This Row],[實際應付]]</f>
        <v/>
      </c>
      <c r="J3" s="3" t="n">
        <v>1850003</v>
      </c>
      <c r="K3" s="3" t="n">
        <v>1850003</v>
      </c>
      <c r="L3" s="3">
        <f>L2+表8[[#This Row],[未入餘額]]-表8[[#This Row],[應付餘額]]</f>
        <v/>
      </c>
      <c r="M3" s="2" t="inlineStr">
        <is>
          <t>0805 送票 9 張</t>
        </is>
      </c>
    </row>
    <row r="4">
      <c r="A4" s="2" t="n">
        <v>3</v>
      </c>
      <c r="B4" s="2">
        <f>IF(C4="","",TEXT(C4,"aaa"))</f>
        <v/>
      </c>
      <c r="C4" s="4" t="n">
        <v>46249</v>
      </c>
      <c r="D4" s="2" t="inlineStr">
        <is>
          <t>台企</t>
        </is>
      </c>
      <c r="E4" s="2" t="inlineStr">
        <is>
          <t>台企支存</t>
        </is>
      </c>
      <c r="F4" s="3" t="n">
        <v>212400</v>
      </c>
      <c r="G4" s="3" t="n"/>
      <c r="H4" s="3">
        <f>表8[[#This Row],[支出]]-表8[[#This Row],[提前扣款]]</f>
        <v/>
      </c>
      <c r="I4" s="3">
        <f>表8[[#This Row],[實際應付]]</f>
        <v/>
      </c>
      <c r="J4" s="3" t="n"/>
      <c r="K4" s="3" t="n"/>
      <c r="L4" s="3">
        <f>L3+表8[[#This Row],[未入餘額]]-表8[[#This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>
        <v>46252</v>
      </c>
      <c r="D5" s="2" t="inlineStr">
        <is>
          <t>彰銀</t>
        </is>
      </c>
      <c r="E5" s="2" t="inlineStr">
        <is>
          <t>彰銀支存</t>
        </is>
      </c>
      <c r="F5" s="3" t="n">
        <v>1365383</v>
      </c>
      <c r="G5" s="3" t="n"/>
      <c r="H5" s="3">
        <f>表8[[#This Row],[支出]]-表8[[#This Row],[提前扣款]]</f>
        <v/>
      </c>
      <c r="I5" s="3">
        <f>表8[[#This Row],[實際應付]]</f>
        <v/>
      </c>
      <c r="J5" s="3" t="n"/>
      <c r="K5" s="3" t="n"/>
      <c r="L5" s="3">
        <f>L4+表8[[#This Row],[未入餘額]]-表8[[#This Row],[應付餘額]]</f>
        <v/>
      </c>
      <c r="M5" s="2" t="inlineStr">
        <is>
          <t>既有 11 張，勿只算新票</t>
        </is>
      </c>
    </row>
    <row r="6">
      <c r="A6" s="2" t="n">
        <v>5</v>
      </c>
      <c r="B6" s="2">
        <f>IF(C6="","",TEXT(C6,"aaa"))</f>
        <v/>
      </c>
      <c r="C6" s="4" t="n">
        <v>46254</v>
      </c>
      <c r="D6" s="2" t="inlineStr">
        <is>
          <t>彰銀</t>
        </is>
      </c>
      <c r="E6" s="2" t="inlineStr">
        <is>
          <t>彰銀託收</t>
        </is>
      </c>
      <c r="F6" s="3" t="n"/>
      <c r="G6" s="3" t="n"/>
      <c r="H6" s="3">
        <f>表8[[#This Row],[支出]]-表8[[#This Row],[提前扣款]]</f>
        <v/>
      </c>
      <c r="I6" s="3">
        <f>表8[[#This Row],[實際應付]]</f>
        <v/>
      </c>
      <c r="J6" s="3" t="n">
        <v>640000</v>
      </c>
      <c r="K6" s="3" t="n">
        <v>640000</v>
      </c>
      <c r="L6" s="3">
        <f>L5+表8[[#This Row],[未入餘額]]-表8[[#This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>
        <v>46259</v>
      </c>
      <c r="D7" s="2" t="inlineStr">
        <is>
          <t>彰銀</t>
        </is>
      </c>
      <c r="E7" s="2" t="inlineStr">
        <is>
          <t>彰銀支存</t>
        </is>
      </c>
      <c r="F7" s="3" t="n">
        <v>2180000</v>
      </c>
      <c r="G7" s="3" t="n"/>
      <c r="H7" s="3">
        <f>表8[[#This Row],[支出]]-表8[[#This Row],[提前扣款]]</f>
        <v/>
      </c>
      <c r="I7" s="3">
        <f>表8[[#This Row],[實際應付]]</f>
        <v/>
      </c>
      <c r="J7" s="3" t="n"/>
      <c r="K7" s="3" t="n"/>
      <c r="L7" s="3">
        <f>L6+表8[[#This Row],[未入餘額]]-表8[[#This Row],[應付餘額]]</f>
        <v/>
      </c>
      <c r="M7" s="2" t="inlineStr">
        <is>
          <t>登記簿合計 2,018,000，待核對</t>
        </is>
      </c>
    </row>
    <row r="8">
      <c r="A8" s="2" t="n">
        <v>7</v>
      </c>
      <c r="B8" s="2">
        <f>IF(C8="","",TEXT(C8,"aaa"))</f>
        <v/>
      </c>
      <c r="C8" s="4" t="n">
        <v>46265</v>
      </c>
      <c r="D8" s="2" t="inlineStr">
        <is>
          <t>聯邦</t>
        </is>
      </c>
      <c r="E8" s="2" t="inlineStr">
        <is>
          <t>聯邦支存</t>
        </is>
      </c>
      <c r="F8" s="3" t="n">
        <v>98700</v>
      </c>
      <c r="G8" s="3" t="n"/>
      <c r="H8" s="3">
        <f>表8[[#This Row],[支出]]-表8[[#This Row],[提前扣款]]</f>
        <v/>
      </c>
      <c r="I8" s="3">
        <f>表8[[#This Row],[實際應付]]</f>
        <v/>
      </c>
      <c r="J8" s="3" t="n"/>
      <c r="K8" s="3" t="n"/>
      <c r="L8" s="3">
        <f>L7+表8[[#This Row],[未入餘額]]-表8[[#This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表8[[#This Row],[支出]]-表8[[#This Row],[提前扣款]]</f>
        <v/>
      </c>
      <c r="I9" s="3">
        <f>表8[[#This Row],[實際應付]]</f>
        <v/>
      </c>
      <c r="J9" s="3" t="n"/>
      <c r="K9" s="3" t="n"/>
      <c r="L9" s="3">
        <f>L8+表8[[#This Row],[未入餘額]]-表8[[#This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表8[[#This Row],[支出]]-表8[[#This Row],[提前扣款]]</f>
        <v/>
      </c>
      <c r="I10" s="3">
        <f>表8[[#This Row],[實際應付]]</f>
        <v/>
      </c>
      <c r="J10" s="3" t="n"/>
      <c r="K10" s="3" t="n"/>
      <c r="L10" s="3">
        <f>L9+表8[[#This Row],[未入餘額]]-表8[[#This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表8[[#This Row],[支出]]-表8[[#This Row],[提前扣款]]</f>
        <v/>
      </c>
      <c r="I11" s="3">
        <f>表8[[#This Row],[實際應付]]</f>
        <v/>
      </c>
      <c r="J11" s="3" t="n"/>
      <c r="K11" s="3" t="n"/>
      <c r="L11" s="3">
        <f>L10+表8[[#This Row],[未入餘額]]-表8[[#This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表8[[#This Row],[支出]]-表8[[#This Row],[提前扣款]]</f>
        <v/>
      </c>
      <c r="I12" s="3">
        <f>表8[[#This Row],[實際應付]]</f>
        <v/>
      </c>
      <c r="J12" s="3" t="n"/>
      <c r="K12" s="3" t="n"/>
      <c r="L12" s="3">
        <f>L11+表8[[#This Row],[未入餘額]]-表8[[#This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表8[[#This Row],[支出]]-表8[[#This Row],[提前扣款]]</f>
        <v/>
      </c>
      <c r="I13" s="3">
        <f>表8[[#This Row],[實際應付]]</f>
        <v/>
      </c>
      <c r="J13" s="3" t="n"/>
      <c r="K13" s="3" t="n"/>
      <c r="L13" s="3">
        <f>L12+表8[[#This Row],[未入餘額]]-表8[[#This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表8[[#This Row],[支出]]-表8[[#This Row],[提前扣款]]</f>
        <v/>
      </c>
      <c r="I14" s="3">
        <f>表8[[#This Row],[實際應付]]</f>
        <v/>
      </c>
      <c r="J14" s="3" t="n"/>
      <c r="K14" s="3" t="n"/>
      <c r="L14" s="3">
        <f>L13+表8[[#This Row],[未入餘額]]-表8[[#This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表8[[#This Row],[支出]]-表8[[#This Row],[提前扣款]]</f>
        <v/>
      </c>
      <c r="I15" s="3">
        <f>表8[[#This Row],[實際應付]]</f>
        <v/>
      </c>
      <c r="J15" s="3" t="n"/>
      <c r="K15" s="3" t="n"/>
      <c r="L15" s="3">
        <f>L14+表8[[#This Row],[未入餘額]]-表8[[#This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表8[[#This Row],[支出]]-表8[[#This Row],[提前扣款]]</f>
        <v/>
      </c>
      <c r="I16" s="3">
        <f>表8[[#This Row],[實際應付]]</f>
        <v/>
      </c>
      <c r="J16" s="3" t="n"/>
      <c r="K16" s="3" t="n"/>
      <c r="L16" s="3">
        <f>L15+表8[[#This Row],[未入餘額]]-表8[[#This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表8[[#This Row],[支出]]-表8[[#This Row],[提前扣款]]</f>
        <v/>
      </c>
      <c r="I17" s="3">
        <f>表8[[#This Row],[實際應付]]</f>
        <v/>
      </c>
      <c r="J17" s="3" t="n"/>
      <c r="K17" s="3" t="n"/>
      <c r="L17" s="3">
        <f>L16+表8[[#This Row],[未入餘額]]-表8[[#This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表8[[#This Row],[支出]]-表8[[#This Row],[提前扣款]]</f>
        <v/>
      </c>
      <c r="I18" s="3">
        <f>表8[[#This Row],[實際應付]]</f>
        <v/>
      </c>
      <c r="J18" s="3" t="n"/>
      <c r="K18" s="3" t="n"/>
      <c r="L18" s="3">
        <f>L17+表8[[#This Row],[未入餘額]]-表8[[#This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表8[[#This Row],[支出]]-表8[[#This Row],[提前扣款]]</f>
        <v/>
      </c>
      <c r="I19" s="3">
        <f>表8[[#This Row],[實際應付]]</f>
        <v/>
      </c>
      <c r="J19" s="3" t="n"/>
      <c r="K19" s="3" t="n"/>
      <c r="L19" s="3">
        <f>L18+表8[[#This Row],[未入餘額]]-表8[[#This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表8[[#This Row],[支出]]-表8[[#This Row],[提前扣款]]</f>
        <v/>
      </c>
      <c r="I20" s="3">
        <f>表8[[#This Row],[實際應付]]</f>
        <v/>
      </c>
      <c r="J20" s="3" t="n"/>
      <c r="K20" s="3" t="n"/>
      <c r="L20" s="3">
        <f>L19+表8[[#This Row],[未入餘額]]-表8[[#This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表8[[#This Row],[支出]]-表8[[#This Row],[提前扣款]]</f>
        <v/>
      </c>
      <c r="I21" s="3">
        <f>表8[[#This Row],[實際應付]]</f>
        <v/>
      </c>
      <c r="J21" s="3" t="n"/>
      <c r="K21" s="3" t="n"/>
      <c r="L21" s="3">
        <f>L20+表8[[#This Row],[未入餘額]]-表8[[#This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表8[[#This Row],[支出]]-表8[[#This Row],[提前扣款]]</f>
        <v/>
      </c>
      <c r="I22" s="3">
        <f>表8[[#This Row],[實際應付]]</f>
        <v/>
      </c>
      <c r="J22" s="3" t="n"/>
      <c r="K22" s="3" t="n"/>
      <c r="L22" s="3">
        <f>L21+表8[[#This Row],[未入餘額]]-表8[[#This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表8[[#This Row],[支出]]-表8[[#This Row],[提前扣款]]</f>
        <v/>
      </c>
      <c r="I23" s="3">
        <f>表8[[#This Row],[實際應付]]</f>
        <v/>
      </c>
      <c r="J23" s="3" t="n"/>
      <c r="K23" s="3" t="n"/>
      <c r="L23" s="3">
        <f>L22+表8[[#This Row],[未入餘額]]-表8[[#This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表8[[#This Row],[支出]]-表8[[#This Row],[提前扣款]]</f>
        <v/>
      </c>
      <c r="I24" s="3">
        <f>表8[[#This Row],[實際應付]]</f>
        <v/>
      </c>
      <c r="J24" s="3" t="n"/>
      <c r="K24" s="3" t="n"/>
      <c r="L24" s="3">
        <f>L23+表8[[#This Row],[未入餘額]]-表8[[#This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表8[[#This Row],[支出]]-表8[[#This Row],[提前扣款]]</f>
        <v/>
      </c>
      <c r="I25" s="3">
        <f>表8[[#This Row],[實際應付]]</f>
        <v/>
      </c>
      <c r="J25" s="3" t="n"/>
      <c r="K25" s="3" t="n"/>
      <c r="L25" s="3">
        <f>L24+表8[[#This Row],[未入餘額]]-表8[[#This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表8[[#This Row],[支出]]-表8[[#This Row],[提前扣款]]</f>
        <v/>
      </c>
      <c r="I26" s="3">
        <f>表8[[#This Row],[實際應付]]</f>
        <v/>
      </c>
      <c r="J26" s="3" t="n"/>
      <c r="K26" s="3" t="n"/>
      <c r="L26" s="3">
        <f>L25+表8[[#This Row],[未入餘額]]-表8[[#This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表8[[#This Row],[支出]]-表8[[#This Row],[提前扣款]]</f>
        <v/>
      </c>
      <c r="I27" s="3">
        <f>表8[[#This Row],[實際應付]]</f>
        <v/>
      </c>
      <c r="J27" s="3" t="n"/>
      <c r="K27" s="3" t="n"/>
      <c r="L27" s="3">
        <f>L26+表8[[#This Row],[未入餘額]]-表8[[#This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表8[[#This Row],[支出]]-表8[[#This Row],[提前扣款]]</f>
        <v/>
      </c>
      <c r="I28" s="3">
        <f>表8[[#This Row],[實際應付]]</f>
        <v/>
      </c>
      <c r="J28" s="3" t="n"/>
      <c r="K28" s="3" t="n"/>
      <c r="L28" s="3">
        <f>L27+表8[[#This Row],[未入餘額]]-表8[[#This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表8[[#This Row],[支出]]-表8[[#This Row],[提前扣款]]</f>
        <v/>
      </c>
      <c r="I29" s="3">
        <f>表8[[#This Row],[實際應付]]</f>
        <v/>
      </c>
      <c r="J29" s="3" t="n"/>
      <c r="K29" s="3" t="n"/>
      <c r="L29" s="3">
        <f>L28+表8[[#This Row],[未入餘額]]-表8[[#This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表8[[#This Row],[支出]]-表8[[#This Row],[提前扣款]]</f>
        <v/>
      </c>
      <c r="I30" s="3">
        <f>表8[[#This Row],[實際應付]]</f>
        <v/>
      </c>
      <c r="J30" s="3" t="n"/>
      <c r="K30" s="3" t="n"/>
      <c r="L30" s="3">
        <f>L29+表8[[#This Row],[未入餘額]]-表8[[#This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表8[[#This Row],[支出]]-表8[[#This Row],[提前扣款]]</f>
        <v/>
      </c>
      <c r="I31" s="3">
        <f>表8[[#This Row],[實際應付]]</f>
        <v/>
      </c>
      <c r="J31" s="3" t="n"/>
      <c r="K31" s="3" t="n"/>
      <c r="L31" s="3">
        <f>L30+表8[[#This Row],[未入餘額]]-表8[[#This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表8[[#This Row],[支出]]-表8[[#This Row],[提前扣款]]</f>
        <v/>
      </c>
      <c r="I32" s="3">
        <f>表8[[#This Row],[實際應付]]</f>
        <v/>
      </c>
      <c r="J32" s="3" t="n"/>
      <c r="K32" s="3" t="n"/>
      <c r="L32" s="3">
        <f>L31+表8[[#This Row],[未入餘額]]-表8[[#This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表8[[#This Row],[支出]]-表8[[#This Row],[提前扣款]]</f>
        <v/>
      </c>
      <c r="I33" s="3">
        <f>表8[[#This Row],[實際應付]]</f>
        <v/>
      </c>
      <c r="J33" s="3" t="n"/>
      <c r="K33" s="3" t="n"/>
      <c r="L33" s="3">
        <f>L32+表8[[#This Row],[未入餘額]]-表8[[#This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表8[[#This Row],[支出]]-表8[[#This Row],[提前扣款]]</f>
        <v/>
      </c>
      <c r="I34" s="3">
        <f>表8[[#This Row],[實際應付]]</f>
        <v/>
      </c>
      <c r="J34" s="3" t="n"/>
      <c r="K34" s="3" t="n"/>
      <c r="L34" s="3">
        <f>L33+表8[[#This Row],[未入餘額]]-表8[[#This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表8[[#This Row],[支出]]-表8[[#This Row],[提前扣款]]</f>
        <v/>
      </c>
      <c r="I35" s="3">
        <f>表8[[#This Row],[實際應付]]</f>
        <v/>
      </c>
      <c r="J35" s="3" t="n"/>
      <c r="K35" s="3" t="n"/>
      <c r="L35" s="3">
        <f>L34+表8[[#This Row],[未入餘額]]-表8[[#This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表8[[#This Row],[支出]]-表8[[#This Row],[提前扣款]]</f>
        <v/>
      </c>
      <c r="I36" s="3">
        <f>表8[[#This Row],[實際應付]]</f>
        <v/>
      </c>
      <c r="J36" s="3" t="n"/>
      <c r="K36" s="3" t="n"/>
      <c r="L36" s="3">
        <f>L35+表8[[#This Row],[未入餘額]]-表8[[#This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表8[[#This Row],[支出]]-表8[[#This Row],[提前扣款]]</f>
        <v/>
      </c>
      <c r="I37" s="3">
        <f>表8[[#This Row],[實際應付]]</f>
        <v/>
      </c>
      <c r="J37" s="3" t="n"/>
      <c r="K37" s="3" t="n"/>
      <c r="L37" s="3">
        <f>L36+表8[[#This Row],[未入餘額]]-表8[[#This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表8[[#This Row],[支出]]-表8[[#This Row],[提前扣款]]</f>
        <v/>
      </c>
      <c r="I38" s="3">
        <f>表8[[#This Row],[實際應付]]</f>
        <v/>
      </c>
      <c r="J38" s="3" t="n"/>
      <c r="K38" s="3" t="n"/>
      <c r="L38" s="3">
        <f>L37+表8[[#This Row],[未入餘額]]-表8[[#This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表8[[#This Row],[支出]]-表8[[#This Row],[提前扣款]]</f>
        <v/>
      </c>
      <c r="I39" s="3">
        <f>表8[[#This Row],[實際應付]]</f>
        <v/>
      </c>
      <c r="J39" s="3" t="n"/>
      <c r="K39" s="3" t="n"/>
      <c r="L39" s="3">
        <f>L38+表8[[#This Row],[未入餘額]]-表8[[#This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表8[[#This Row],[支出]]-表8[[#This Row],[提前扣款]]</f>
        <v/>
      </c>
      <c r="I40" s="3">
        <f>表8[[#This Row],[實際應付]]</f>
        <v/>
      </c>
      <c r="J40" s="3" t="n"/>
      <c r="K40" s="3" t="n"/>
      <c r="L40" s="3">
        <f>L39+表8[[#This Row],[未入餘額]]-表8[[#This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表8[[#This Row],[支出]]-表8[[#This Row],[提前扣款]]</f>
        <v/>
      </c>
      <c r="I41" s="3">
        <f>表8[[#This Row],[實際應付]]</f>
        <v/>
      </c>
      <c r="J41" s="3" t="n"/>
      <c r="K41" s="3" t="n"/>
      <c r="L41" s="3">
        <f>L40+表8[[#This Row],[未入餘額]]-表8[[#This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表8[[#This Row],[支出]]-表8[[#This Row],[提前扣款]]</f>
        <v/>
      </c>
      <c r="I42" s="3">
        <f>表8[[#This Row],[實際應付]]</f>
        <v/>
      </c>
      <c r="J42" s="3" t="n"/>
      <c r="K42" s="3" t="n"/>
      <c r="L42" s="3">
        <f>L41+表8[[#This Row],[未入餘額]]-表8[[#This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表8[[#This Row],[支出]]-表8[[#This Row],[提前扣款]]</f>
        <v/>
      </c>
      <c r="I43" s="3">
        <f>表8[[#This Row],[實際應付]]</f>
        <v/>
      </c>
      <c r="J43" s="3" t="n"/>
      <c r="K43" s="3" t="n"/>
      <c r="L43" s="3">
        <f>L42+表8[[#This Row],[未入餘額]]-表8[[#This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表8[[#This Row],[支出]]-表8[[#This Row],[提前扣款]]</f>
        <v/>
      </c>
      <c r="I44" s="3">
        <f>表8[[#This Row],[實際應付]]</f>
        <v/>
      </c>
      <c r="J44" s="3" t="n"/>
      <c r="K44" s="3" t="n"/>
      <c r="L44" s="3">
        <f>L43+表8[[#This Row],[未入餘額]]-表8[[#This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表8[[#This Row],[支出]]-表8[[#This Row],[提前扣款]]</f>
        <v/>
      </c>
      <c r="I45" s="3">
        <f>表8[[#This Row],[實際應付]]</f>
        <v/>
      </c>
      <c r="J45" s="3" t="n"/>
      <c r="K45" s="3" t="n"/>
      <c r="L45" s="3">
        <f>L44+表8[[#This Row],[未入餘額]]-表8[[#This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表8[[#This Row],[支出]]-表8[[#This Row],[提前扣款]]</f>
        <v/>
      </c>
      <c r="I46" s="3">
        <f>表8[[#This Row],[實際應付]]</f>
        <v/>
      </c>
      <c r="J46" s="3" t="n"/>
      <c r="K46" s="3" t="n"/>
      <c r="L46" s="3">
        <f>L45+表8[[#This Row],[未入餘額]]-表8[[#This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3960000</v>
      </c>
    </row>
    <row r="2">
      <c r="A2" s="2" t="n">
        <v>1</v>
      </c>
      <c r="B2" s="2">
        <f>IF(C2="","",TEXT(C2,"aaa"))</f>
        <v/>
      </c>
      <c r="C2" s="4" t="n">
        <v>46270</v>
      </c>
      <c r="D2" s="2" t="inlineStr">
        <is>
          <t>彰銀</t>
        </is>
      </c>
      <c r="E2" s="2" t="inlineStr">
        <is>
          <t>彰銀支存</t>
        </is>
      </c>
      <c r="F2" s="3" t="n">
        <v>452900</v>
      </c>
      <c r="G2" s="3" t="n"/>
      <c r="H2" s="3">
        <f>表9[[#This Row],[支出]]-表9[[#This Row],[提前扣款]]</f>
        <v/>
      </c>
      <c r="I2" s="3">
        <f>表9[[#This Row],[實際應付]]</f>
        <v/>
      </c>
      <c r="J2" s="3" t="n"/>
      <c r="K2" s="3" t="n"/>
      <c r="L2" s="3">
        <f>$P$1+表9[[#This Row],[未入餘額]]-表9[[#This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>
        <v>46275</v>
      </c>
      <c r="D3" s="2" t="inlineStr">
        <is>
          <t>彰銀</t>
        </is>
      </c>
      <c r="E3" s="2" t="inlineStr">
        <is>
          <t>彰銀交換</t>
        </is>
      </c>
      <c r="F3" s="3" t="n"/>
      <c r="G3" s="3" t="n"/>
      <c r="H3" s="3">
        <f>表9[[#This Row],[支出]]-表9[[#This Row],[提前扣款]]</f>
        <v/>
      </c>
      <c r="I3" s="3">
        <f>表9[[#This Row],[實際應付]]</f>
        <v/>
      </c>
      <c r="J3" s="3" t="n">
        <v>2310500</v>
      </c>
      <c r="K3" s="3" t="n">
        <v>2310500</v>
      </c>
      <c r="L3" s="3">
        <f>L2+表9[[#This Row],[未入餘額]]-表9[[#This Row],[應付餘額]]</f>
        <v/>
      </c>
      <c r="M3" s="2" t="inlineStr">
        <is>
          <t>0905 送票</t>
        </is>
      </c>
    </row>
    <row r="4">
      <c r="A4" s="2" t="n">
        <v>3</v>
      </c>
      <c r="B4" s="2">
        <f>IF(C4="","",TEXT(C4,"aaa"))</f>
        <v/>
      </c>
      <c r="C4" s="4" t="n">
        <v>46280</v>
      </c>
      <c r="D4" s="2" t="inlineStr">
        <is>
          <t>台企</t>
        </is>
      </c>
      <c r="E4" s="2" t="inlineStr">
        <is>
          <t>台企支存</t>
        </is>
      </c>
      <c r="F4" s="3" t="n">
        <v>174320</v>
      </c>
      <c r="G4" s="3" t="n"/>
      <c r="H4" s="3">
        <f>表9[[#This Row],[支出]]-表9[[#This Row],[提前扣款]]</f>
        <v/>
      </c>
      <c r="I4" s="3">
        <f>表9[[#This Row],[實際應付]]</f>
        <v/>
      </c>
      <c r="J4" s="3" t="n"/>
      <c r="K4" s="3" t="n"/>
      <c r="L4" s="3">
        <f>L3+表9[[#This Row],[未入餘額]]-表9[[#This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>
        <v>46285</v>
      </c>
      <c r="D5" s="2" t="inlineStr">
        <is>
          <t>彰銀</t>
        </is>
      </c>
      <c r="E5" s="2" t="inlineStr">
        <is>
          <t>彰銀支存</t>
        </is>
      </c>
      <c r="F5" s="3" t="n">
        <v>1459109</v>
      </c>
      <c r="G5" s="3" t="n"/>
      <c r="H5" s="3">
        <f>表9[[#This Row],[支出]]-表9[[#This Row],[提前扣款]]</f>
        <v/>
      </c>
      <c r="I5" s="3">
        <f>表9[[#This Row],[實際應付]]</f>
        <v/>
      </c>
      <c r="J5" s="3" t="n"/>
      <c r="K5" s="3" t="n"/>
      <c r="L5" s="3">
        <f>L4+表9[[#This Row],[未入餘額]]-表9[[#This Row],[應付餘額]]</f>
        <v/>
      </c>
      <c r="M5" s="2" t="inlineStr">
        <is>
          <t>建承 T/T 另備</t>
        </is>
      </c>
    </row>
    <row r="6">
      <c r="A6" s="2" t="n">
        <v>5</v>
      </c>
      <c r="B6" s="2">
        <f>IF(C6="","",TEXT(C6,"aaa"))</f>
        <v/>
      </c>
      <c r="C6" s="4" t="n">
        <v>46290</v>
      </c>
      <c r="D6" s="2" t="inlineStr">
        <is>
          <t>彰銀</t>
        </is>
      </c>
      <c r="E6" s="2" t="inlineStr">
        <is>
          <t>彰銀支存</t>
        </is>
      </c>
      <c r="F6" s="3" t="n">
        <v>903250</v>
      </c>
      <c r="G6" s="3" t="n"/>
      <c r="H6" s="3">
        <f>表9[[#This Row],[支出]]-表9[[#This Row],[提前扣款]]</f>
        <v/>
      </c>
      <c r="I6" s="3">
        <f>表9[[#This Row],[實際應付]]</f>
        <v/>
      </c>
      <c r="J6" s="3" t="n"/>
      <c r="K6" s="3" t="n"/>
      <c r="L6" s="3">
        <f>L5+表9[[#This Row],[未入餘額]]-表9[[#This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>
        <v>46295</v>
      </c>
      <c r="D7" s="2" t="inlineStr">
        <is>
          <t>聯邦</t>
        </is>
      </c>
      <c r="E7" s="2" t="inlineStr">
        <is>
          <t>聯邦支存</t>
        </is>
      </c>
      <c r="F7" s="3" t="n">
        <v>120000</v>
      </c>
      <c r="G7" s="3" t="n"/>
      <c r="H7" s="3">
        <f>表9[[#This Row],[支出]]-表9[[#This Row],[提前扣款]]</f>
        <v/>
      </c>
      <c r="I7" s="3">
        <f>表9[[#This Row],[實際應付]]</f>
        <v/>
      </c>
      <c r="J7" s="3" t="n"/>
      <c r="K7" s="3" t="n"/>
      <c r="L7" s="3">
        <f>L6+表9[[#This Row],[未入餘額]]-表9[[#This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表9[[#This Row],[支出]]-表9[[#This Row],[提前扣款]]</f>
        <v/>
      </c>
      <c r="I8" s="3">
        <f>表9[[#This Row],[實際應付]]</f>
        <v/>
      </c>
      <c r="J8" s="3" t="n"/>
      <c r="K8" s="3" t="n"/>
      <c r="L8" s="3">
        <f>L7+表9[[#This Row],[未入餘額]]-表9[[#This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表9[[#This Row],[支出]]-表9[[#This Row],[提前扣款]]</f>
        <v/>
      </c>
      <c r="I9" s="3">
        <f>表9[[#This Row],[實際應付]]</f>
        <v/>
      </c>
      <c r="J9" s="3" t="n"/>
      <c r="K9" s="3" t="n"/>
      <c r="L9" s="3">
        <f>L8+表9[[#This Row],[未入餘額]]-表9[[#This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表9[[#This Row],[支出]]-表9[[#This Row],[提前扣款]]</f>
        <v/>
      </c>
      <c r="I10" s="3">
        <f>表9[[#This Row],[實際應付]]</f>
        <v/>
      </c>
      <c r="J10" s="3" t="n"/>
      <c r="K10" s="3" t="n"/>
      <c r="L10" s="3">
        <f>L9+表9[[#This Row],[未入餘額]]-表9[[#This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表9[[#This Row],[支出]]-表9[[#This Row],[提前扣款]]</f>
        <v/>
      </c>
      <c r="I11" s="3">
        <f>表9[[#This Row],[實際應付]]</f>
        <v/>
      </c>
      <c r="J11" s="3" t="n"/>
      <c r="K11" s="3" t="n"/>
      <c r="L11" s="3">
        <f>L10+表9[[#This Row],[未入餘額]]-表9[[#This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表9[[#This Row],[支出]]-表9[[#This Row],[提前扣款]]</f>
        <v/>
      </c>
      <c r="I12" s="3">
        <f>表9[[#This Row],[實際應付]]</f>
        <v/>
      </c>
      <c r="J12" s="3" t="n"/>
      <c r="K12" s="3" t="n"/>
      <c r="L12" s="3">
        <f>L11+表9[[#This Row],[未入餘額]]-表9[[#This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表9[[#This Row],[支出]]-表9[[#This Row],[提前扣款]]</f>
        <v/>
      </c>
      <c r="I13" s="3">
        <f>表9[[#This Row],[實際應付]]</f>
        <v/>
      </c>
      <c r="J13" s="3" t="n"/>
      <c r="K13" s="3" t="n"/>
      <c r="L13" s="3">
        <f>L12+表9[[#This Row],[未入餘額]]-表9[[#This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表9[[#This Row],[支出]]-表9[[#This Row],[提前扣款]]</f>
        <v/>
      </c>
      <c r="I14" s="3">
        <f>表9[[#This Row],[實際應付]]</f>
        <v/>
      </c>
      <c r="J14" s="3" t="n"/>
      <c r="K14" s="3" t="n"/>
      <c r="L14" s="3">
        <f>L13+表9[[#This Row],[未入餘額]]-表9[[#This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表9[[#This Row],[支出]]-表9[[#This Row],[提前扣款]]</f>
        <v/>
      </c>
      <c r="I15" s="3">
        <f>表9[[#This Row],[實際應付]]</f>
        <v/>
      </c>
      <c r="J15" s="3" t="n"/>
      <c r="K15" s="3" t="n"/>
      <c r="L15" s="3">
        <f>L14+表9[[#This Row],[未入餘額]]-表9[[#This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表9[[#This Row],[支出]]-表9[[#This Row],[提前扣款]]</f>
        <v/>
      </c>
      <c r="I16" s="3">
        <f>表9[[#This Row],[實際應付]]</f>
        <v/>
      </c>
      <c r="J16" s="3" t="n"/>
      <c r="K16" s="3" t="n"/>
      <c r="L16" s="3">
        <f>L15+表9[[#This Row],[未入餘額]]-表9[[#This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表9[[#This Row],[支出]]-表9[[#This Row],[提前扣款]]</f>
        <v/>
      </c>
      <c r="I17" s="3">
        <f>表9[[#This Row],[實際應付]]</f>
        <v/>
      </c>
      <c r="J17" s="3" t="n"/>
      <c r="K17" s="3" t="n"/>
      <c r="L17" s="3">
        <f>L16+表9[[#This Row],[未入餘額]]-表9[[#This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表9[[#This Row],[支出]]-表9[[#This Row],[提前扣款]]</f>
        <v/>
      </c>
      <c r="I18" s="3">
        <f>表9[[#This Row],[實際應付]]</f>
        <v/>
      </c>
      <c r="J18" s="3" t="n"/>
      <c r="K18" s="3" t="n"/>
      <c r="L18" s="3">
        <f>L17+表9[[#This Row],[未入餘額]]-表9[[#This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表9[[#This Row],[支出]]-表9[[#This Row],[提前扣款]]</f>
        <v/>
      </c>
      <c r="I19" s="3">
        <f>表9[[#This Row],[實際應付]]</f>
        <v/>
      </c>
      <c r="J19" s="3" t="n"/>
      <c r="K19" s="3" t="n"/>
      <c r="L19" s="3">
        <f>L18+表9[[#This Row],[未入餘額]]-表9[[#This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表9[[#This Row],[支出]]-表9[[#This Row],[提前扣款]]</f>
        <v/>
      </c>
      <c r="I20" s="3">
        <f>表9[[#This Row],[實際應付]]</f>
        <v/>
      </c>
      <c r="J20" s="3" t="n"/>
      <c r="K20" s="3" t="n"/>
      <c r="L20" s="3">
        <f>L19+表9[[#This Row],[未入餘額]]-表9[[#This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表9[[#This Row],[支出]]-表9[[#This Row],[提前扣款]]</f>
        <v/>
      </c>
      <c r="I21" s="3">
        <f>表9[[#This Row],[實際應付]]</f>
        <v/>
      </c>
      <c r="J21" s="3" t="n"/>
      <c r="K21" s="3" t="n"/>
      <c r="L21" s="3">
        <f>L20+表9[[#This Row],[未入餘額]]-表9[[#This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表9[[#This Row],[支出]]-表9[[#This Row],[提前扣款]]</f>
        <v/>
      </c>
      <c r="I22" s="3">
        <f>表9[[#This Row],[實際應付]]</f>
        <v/>
      </c>
      <c r="J22" s="3" t="n"/>
      <c r="K22" s="3" t="n"/>
      <c r="L22" s="3">
        <f>L21+表9[[#This Row],[未入餘額]]-表9[[#This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表9[[#This Row],[支出]]-表9[[#This Row],[提前扣款]]</f>
        <v/>
      </c>
      <c r="I23" s="3">
        <f>表9[[#This Row],[實際應付]]</f>
        <v/>
      </c>
      <c r="J23" s="3" t="n"/>
      <c r="K23" s="3" t="n"/>
      <c r="L23" s="3">
        <f>L22+表9[[#This Row],[未入餘額]]-表9[[#This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表9[[#This Row],[支出]]-表9[[#This Row],[提前扣款]]</f>
        <v/>
      </c>
      <c r="I24" s="3">
        <f>表9[[#This Row],[實際應付]]</f>
        <v/>
      </c>
      <c r="J24" s="3" t="n"/>
      <c r="K24" s="3" t="n"/>
      <c r="L24" s="3">
        <f>L23+表9[[#This Row],[未入餘額]]-表9[[#This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表9[[#This Row],[支出]]-表9[[#This Row],[提前扣款]]</f>
        <v/>
      </c>
      <c r="I25" s="3">
        <f>表9[[#This Row],[實際應付]]</f>
        <v/>
      </c>
      <c r="J25" s="3" t="n"/>
      <c r="K25" s="3" t="n"/>
      <c r="L25" s="3">
        <f>L24+表9[[#This Row],[未入餘額]]-表9[[#This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表9[[#This Row],[支出]]-表9[[#This Row],[提前扣款]]</f>
        <v/>
      </c>
      <c r="I26" s="3">
        <f>表9[[#This Row],[實際應付]]</f>
        <v/>
      </c>
      <c r="J26" s="3" t="n"/>
      <c r="K26" s="3" t="n"/>
      <c r="L26" s="3">
        <f>L25+表9[[#This Row],[未入餘額]]-表9[[#This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表9[[#This Row],[支出]]-表9[[#This Row],[提前扣款]]</f>
        <v/>
      </c>
      <c r="I27" s="3">
        <f>表9[[#This Row],[實際應付]]</f>
        <v/>
      </c>
      <c r="J27" s="3" t="n"/>
      <c r="K27" s="3" t="n"/>
      <c r="L27" s="3">
        <f>L26+表9[[#This Row],[未入餘額]]-表9[[#This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表9[[#This Row],[支出]]-表9[[#This Row],[提前扣款]]</f>
        <v/>
      </c>
      <c r="I28" s="3">
        <f>表9[[#This Row],[實際應付]]</f>
        <v/>
      </c>
      <c r="J28" s="3" t="n"/>
      <c r="K28" s="3" t="n"/>
      <c r="L28" s="3">
        <f>L27+表9[[#This Row],[未入餘額]]-表9[[#This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表9[[#This Row],[支出]]-表9[[#This Row],[提前扣款]]</f>
        <v/>
      </c>
      <c r="I29" s="3">
        <f>表9[[#This Row],[實際應付]]</f>
        <v/>
      </c>
      <c r="J29" s="3" t="n"/>
      <c r="K29" s="3" t="n"/>
      <c r="L29" s="3">
        <f>L28+表9[[#This Row],[未入餘額]]-表9[[#This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表9[[#This Row],[支出]]-表9[[#This Row],[提前扣款]]</f>
        <v/>
      </c>
      <c r="I30" s="3">
        <f>表9[[#This Row],[實際應付]]</f>
        <v/>
      </c>
      <c r="J30" s="3" t="n"/>
      <c r="K30" s="3" t="n"/>
      <c r="L30" s="3">
        <f>L29+表9[[#This Row],[未入餘額]]-表9[[#This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表9[[#This Row],[支出]]-表9[[#This Row],[提前扣款]]</f>
        <v/>
      </c>
      <c r="I31" s="3">
        <f>表9[[#This Row],[實際應付]]</f>
        <v/>
      </c>
      <c r="J31" s="3" t="n"/>
      <c r="K31" s="3" t="n"/>
      <c r="L31" s="3">
        <f>L30+表9[[#This Row],[未入餘額]]-表9[[#This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表9[[#This Row],[支出]]-表9[[#This Row],[提前扣款]]</f>
        <v/>
      </c>
      <c r="I32" s="3">
        <f>表9[[#This Row],[實際應付]]</f>
        <v/>
      </c>
      <c r="J32" s="3" t="n"/>
      <c r="K32" s="3" t="n"/>
      <c r="L32" s="3">
        <f>L31+表9[[#This Row],[未入餘額]]-表9[[#This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表9[[#This Row],[支出]]-表9[[#This Row],[提前扣款]]</f>
        <v/>
      </c>
      <c r="I33" s="3">
        <f>表9[[#This Row],[實際應付]]</f>
        <v/>
      </c>
      <c r="J33" s="3" t="n"/>
      <c r="K33" s="3" t="n"/>
      <c r="L33" s="3">
        <f>L32+表9[[#This Row],[未入餘額]]-表9[[#This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表9[[#This Row],[支出]]-表9[[#This Row],[提前扣款]]</f>
        <v/>
      </c>
      <c r="I34" s="3">
        <f>表9[[#This Row],[實際應付]]</f>
        <v/>
      </c>
      <c r="J34" s="3" t="n"/>
      <c r="K34" s="3" t="n"/>
      <c r="L34" s="3">
        <f>L33+表9[[#This Row],[未入餘額]]-表9[[#This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表9[[#This Row],[支出]]-表9[[#This Row],[提前扣款]]</f>
        <v/>
      </c>
      <c r="I35" s="3">
        <f>表9[[#This Row],[實際應付]]</f>
        <v/>
      </c>
      <c r="J35" s="3" t="n"/>
      <c r="K35" s="3" t="n"/>
      <c r="L35" s="3">
        <f>L34+表9[[#This Row],[未入餘額]]-表9[[#This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表9[[#This Row],[支出]]-表9[[#This Row],[提前扣款]]</f>
        <v/>
      </c>
      <c r="I36" s="3">
        <f>表9[[#This Row],[實際應付]]</f>
        <v/>
      </c>
      <c r="J36" s="3" t="n"/>
      <c r="K36" s="3" t="n"/>
      <c r="L36" s="3">
        <f>L35+表9[[#This Row],[未入餘額]]-表9[[#This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表9[[#This Row],[支出]]-表9[[#This Row],[提前扣款]]</f>
        <v/>
      </c>
      <c r="I37" s="3">
        <f>表9[[#This Row],[實際應付]]</f>
        <v/>
      </c>
      <c r="J37" s="3" t="n"/>
      <c r="K37" s="3" t="n"/>
      <c r="L37" s="3">
        <f>L36+表9[[#This Row],[未入餘額]]-表9[[#This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表9[[#This Row],[支出]]-表9[[#This Row],[提前扣款]]</f>
        <v/>
      </c>
      <c r="I38" s="3">
        <f>表9[[#This Row],[實際應付]]</f>
        <v/>
      </c>
      <c r="J38" s="3" t="n"/>
      <c r="K38" s="3" t="n"/>
      <c r="L38" s="3">
        <f>L37+表9[[#This Row],[未入餘額]]-表9[[#This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表9[[#This Row],[支出]]-表9[[#This Row],[提前扣款]]</f>
        <v/>
      </c>
      <c r="I39" s="3">
        <f>表9[[#This Row],[實際應付]]</f>
        <v/>
      </c>
      <c r="J39" s="3" t="n"/>
      <c r="K39" s="3" t="n"/>
      <c r="L39" s="3">
        <f>L38+表9[[#This Row],[未入餘額]]-表9[[#This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表9[[#This Row],[支出]]-表9[[#This Row],[提前扣款]]</f>
        <v/>
      </c>
      <c r="I40" s="3">
        <f>表9[[#This Row],[實際應付]]</f>
        <v/>
      </c>
      <c r="J40" s="3" t="n"/>
      <c r="K40" s="3" t="n"/>
      <c r="L40" s="3">
        <f>L39+表9[[#This Row],[未入餘額]]-表9[[#This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表9[[#This Row],[支出]]-表9[[#This Row],[提前扣款]]</f>
        <v/>
      </c>
      <c r="I41" s="3">
        <f>表9[[#This Row],[實際應付]]</f>
        <v/>
      </c>
      <c r="J41" s="3" t="n"/>
      <c r="K41" s="3" t="n"/>
      <c r="L41" s="3">
        <f>L40+表9[[#This Row],[未入餘額]]-表9[[#This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表9[[#This Row],[支出]]-表9[[#This Row],[提前扣款]]</f>
        <v/>
      </c>
      <c r="I42" s="3">
        <f>表9[[#This Row],[實際應付]]</f>
        <v/>
      </c>
      <c r="J42" s="3" t="n"/>
      <c r="K42" s="3" t="n"/>
      <c r="L42" s="3">
        <f>L41+表9[[#This Row],[未入餘額]]-表9[[#This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表9[[#This Row],[支出]]-表9[[#This Row],[提前扣款]]</f>
        <v/>
      </c>
      <c r="I43" s="3">
        <f>表9[[#This Row],[實際應付]]</f>
        <v/>
      </c>
      <c r="J43" s="3" t="n"/>
      <c r="K43" s="3" t="n"/>
      <c r="L43" s="3">
        <f>L42+表9[[#This Row],[未入餘額]]-表9[[#This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表9[[#This Row],[支出]]-表9[[#This Row],[提前扣款]]</f>
        <v/>
      </c>
      <c r="I44" s="3">
        <f>表9[[#This Row],[實際應付]]</f>
        <v/>
      </c>
      <c r="J44" s="3" t="n"/>
      <c r="K44" s="3" t="n"/>
      <c r="L44" s="3">
        <f>L43+表9[[#This Row],[未入餘額]]-表9[[#This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表9[[#This Row],[支出]]-表9[[#This Row],[提前扣款]]</f>
        <v/>
      </c>
      <c r="I45" s="3">
        <f>表9[[#This Row],[實際應付]]</f>
        <v/>
      </c>
      <c r="J45" s="3" t="n"/>
      <c r="K45" s="3" t="n"/>
      <c r="L45" s="3">
        <f>L44+表9[[#This Row],[未入餘額]]-表9[[#This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表9[[#This Row],[支出]]-表9[[#This Row],[提前扣款]]</f>
        <v/>
      </c>
      <c r="I46" s="3">
        <f>表9[[#This Row],[實際應付]]</f>
        <v/>
      </c>
      <c r="J46" s="3" t="n"/>
      <c r="K46" s="3" t="n"/>
      <c r="L46" s="3">
        <f>L45+表9[[#This Row],[未入餘額]]-表9[[#This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4080000</v>
      </c>
    </row>
    <row r="2">
      <c r="A2" s="2" t="n">
        <v>1</v>
      </c>
      <c r="B2" s="2">
        <f>IF(C2="","",TEXT(C2,"aaa"))</f>
        <v/>
      </c>
      <c r="C2" s="4" t="n">
        <v>46300</v>
      </c>
      <c r="D2" s="2" t="inlineStr">
        <is>
          <t>彰銀</t>
        </is>
      </c>
      <c r="E2" s="2" t="inlineStr">
        <is>
          <t>彰銀支存</t>
        </is>
      </c>
      <c r="F2" s="3" t="n">
        <v>610000</v>
      </c>
      <c r="G2" s="3" t="n"/>
      <c r="H2" s="3">
        <f>表10[[#This Row],[支出]]-表10[[#This Row],[提前扣款]]</f>
        <v/>
      </c>
      <c r="I2" s="3">
        <f>表10[[#This Row],[實際應付]]</f>
        <v/>
      </c>
      <c r="J2" s="3" t="n"/>
      <c r="K2" s="3" t="n"/>
      <c r="L2" s="3">
        <f>$P$1+表10[[#This Row],[未入餘額]]-表10[[#This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>
        <v>46310</v>
      </c>
      <c r="D3" s="2" t="inlineStr">
        <is>
          <t>台企</t>
        </is>
      </c>
      <c r="E3" s="2" t="inlineStr">
        <is>
          <t>台企支存</t>
        </is>
      </c>
      <c r="F3" s="3" t="n">
        <v>205000</v>
      </c>
      <c r="G3" s="3" t="n"/>
      <c r="H3" s="3">
        <f>表10[[#This Row],[支出]]-表10[[#This Row],[提前扣款]]</f>
        <v/>
      </c>
      <c r="I3" s="3">
        <f>表10[[#This Row],[實際應付]]</f>
        <v/>
      </c>
      <c r="J3" s="3" t="n"/>
      <c r="K3" s="3" t="n"/>
      <c r="L3" s="3">
        <f>L2+表10[[#This Row],[未入餘額]]-表10[[#This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>
        <v>46315</v>
      </c>
      <c r="D4" s="2" t="inlineStr">
        <is>
          <t>彰銀</t>
        </is>
      </c>
      <c r="E4" s="2" t="inlineStr">
        <is>
          <t>彰銀交換</t>
        </is>
      </c>
      <c r="F4" s="3" t="n"/>
      <c r="G4" s="3" t="n"/>
      <c r="H4" s="3">
        <f>表10[[#This Row],[支出]]-表10[[#This Row],[提前扣款]]</f>
        <v/>
      </c>
      <c r="I4" s="3">
        <f>表10[[#This Row],[實際應付]]</f>
        <v/>
      </c>
      <c r="J4" s="3" t="n">
        <v>1200000</v>
      </c>
      <c r="K4" s="3" t="n">
        <v>1200000</v>
      </c>
      <c r="L4" s="3">
        <f>L3+表10[[#This Row],[未入餘額]]-表10[[#This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表10[[#This Row],[支出]]-表10[[#This Row],[提前扣款]]</f>
        <v/>
      </c>
      <c r="I5" s="3">
        <f>表10[[#This Row],[實際應付]]</f>
        <v/>
      </c>
      <c r="J5" s="3" t="n"/>
      <c r="K5" s="3" t="n"/>
      <c r="L5" s="3">
        <f>L4+表10[[#This Row],[未入餘額]]-表10[[#This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表10[[#This Row],[支出]]-表10[[#This Row],[提前扣款]]</f>
        <v/>
      </c>
      <c r="I6" s="3">
        <f>表10[[#This Row],[實際應付]]</f>
        <v/>
      </c>
      <c r="J6" s="3" t="n"/>
      <c r="K6" s="3" t="n"/>
      <c r="L6" s="3">
        <f>L5+表10[[#This Row],[未入餘額]]-表10[[#This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表10[[#This Row],[支出]]-表10[[#This Row],[提前扣款]]</f>
        <v/>
      </c>
      <c r="I7" s="3">
        <f>表10[[#This Row],[實際應付]]</f>
        <v/>
      </c>
      <c r="J7" s="3" t="n"/>
      <c r="K7" s="3" t="n"/>
      <c r="L7" s="3">
        <f>L6+表10[[#This Row],[未入餘額]]-表10[[#This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表10[[#This Row],[支出]]-表10[[#This Row],[提前扣款]]</f>
        <v/>
      </c>
      <c r="I8" s="3">
        <f>表10[[#This Row],[實際應付]]</f>
        <v/>
      </c>
      <c r="J8" s="3" t="n"/>
      <c r="K8" s="3" t="n"/>
      <c r="L8" s="3">
        <f>L7+表10[[#This Row],[未入餘額]]-表10[[#This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表10[[#This Row],[支出]]-表10[[#This Row],[提前扣款]]</f>
        <v/>
      </c>
      <c r="I9" s="3">
        <f>表10[[#This Row],[實際應付]]</f>
        <v/>
      </c>
      <c r="J9" s="3" t="n"/>
      <c r="K9" s="3" t="n"/>
      <c r="L9" s="3">
        <f>L8+表10[[#This Row],[未入餘額]]-表10[[#This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表10[[#This Row],[支出]]-表10[[#This Row],[提前扣款]]</f>
        <v/>
      </c>
      <c r="I10" s="3">
        <f>表10[[#This Row],[實際應付]]</f>
        <v/>
      </c>
      <c r="J10" s="3" t="n"/>
      <c r="K10" s="3" t="n"/>
      <c r="L10" s="3">
        <f>L9+表10[[#This Row],[未入餘額]]-表10[[#This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表10[[#This Row],[支出]]-表10[[#This Row],[提前扣款]]</f>
        <v/>
      </c>
      <c r="I11" s="3">
        <f>表10[[#This Row],[實際應付]]</f>
        <v/>
      </c>
      <c r="J11" s="3" t="n"/>
      <c r="K11" s="3" t="n"/>
      <c r="L11" s="3">
        <f>L10+表10[[#This Row],[未入餘額]]-表10[[#This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表10[[#This Row],[支出]]-表10[[#This Row],[提前扣款]]</f>
        <v/>
      </c>
      <c r="I12" s="3">
        <f>表10[[#This Row],[實際應付]]</f>
        <v/>
      </c>
      <c r="J12" s="3" t="n"/>
      <c r="K12" s="3" t="n"/>
      <c r="L12" s="3">
        <f>L11+表10[[#This Row],[未入餘額]]-表10[[#This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表10[[#This Row],[支出]]-表10[[#This Row],[提前扣款]]</f>
        <v/>
      </c>
      <c r="I13" s="3">
        <f>表10[[#This Row],[實際應付]]</f>
        <v/>
      </c>
      <c r="J13" s="3" t="n"/>
      <c r="K13" s="3" t="n"/>
      <c r="L13" s="3">
        <f>L12+表10[[#This Row],[未入餘額]]-表10[[#This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表10[[#This Row],[支出]]-表10[[#This Row],[提前扣款]]</f>
        <v/>
      </c>
      <c r="I14" s="3">
        <f>表10[[#This Row],[實際應付]]</f>
        <v/>
      </c>
      <c r="J14" s="3" t="n"/>
      <c r="K14" s="3" t="n"/>
      <c r="L14" s="3">
        <f>L13+表10[[#This Row],[未入餘額]]-表10[[#This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表10[[#This Row],[支出]]-表10[[#This Row],[提前扣款]]</f>
        <v/>
      </c>
      <c r="I15" s="3">
        <f>表10[[#This Row],[實際應付]]</f>
        <v/>
      </c>
      <c r="J15" s="3" t="n"/>
      <c r="K15" s="3" t="n"/>
      <c r="L15" s="3">
        <f>L14+表10[[#This Row],[未入餘額]]-表10[[#This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表10[[#This Row],[支出]]-表10[[#This Row],[提前扣款]]</f>
        <v/>
      </c>
      <c r="I16" s="3">
        <f>表10[[#This Row],[實際應付]]</f>
        <v/>
      </c>
      <c r="J16" s="3" t="n"/>
      <c r="K16" s="3" t="n"/>
      <c r="L16" s="3">
        <f>L15+表10[[#This Row],[未入餘額]]-表10[[#This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表10[[#This Row],[支出]]-表10[[#This Row],[提前扣款]]</f>
        <v/>
      </c>
      <c r="I17" s="3">
        <f>表10[[#This Row],[實際應付]]</f>
        <v/>
      </c>
      <c r="J17" s="3" t="n"/>
      <c r="K17" s="3" t="n"/>
      <c r="L17" s="3">
        <f>L16+表10[[#This Row],[未入餘額]]-表10[[#This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表10[[#This Row],[支出]]-表10[[#This Row],[提前扣款]]</f>
        <v/>
      </c>
      <c r="I18" s="3">
        <f>表10[[#This Row],[實際應付]]</f>
        <v/>
      </c>
      <c r="J18" s="3" t="n"/>
      <c r="K18" s="3" t="n"/>
      <c r="L18" s="3">
        <f>L17+表10[[#This Row],[未入餘額]]-表10[[#This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表10[[#This Row],[支出]]-表10[[#This Row],[提前扣款]]</f>
        <v/>
      </c>
      <c r="I19" s="3">
        <f>表10[[#This Row],[實際應付]]</f>
        <v/>
      </c>
      <c r="J19" s="3" t="n"/>
      <c r="K19" s="3" t="n"/>
      <c r="L19" s="3">
        <f>L18+表10[[#This Row],[未入餘額]]-表10[[#This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表10[[#This Row],[支出]]-表10[[#This Row],[提前扣款]]</f>
        <v/>
      </c>
      <c r="I20" s="3">
        <f>表10[[#This Row],[實際應付]]</f>
        <v/>
      </c>
      <c r="J20" s="3" t="n"/>
      <c r="K20" s="3" t="n"/>
      <c r="L20" s="3">
        <f>L19+表10[[#This Row],[未入餘額]]-表10[[#This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表10[[#This Row],[支出]]-表10[[#This Row],[提前扣款]]</f>
        <v/>
      </c>
      <c r="I21" s="3">
        <f>表10[[#This Row],[實際應付]]</f>
        <v/>
      </c>
      <c r="J21" s="3" t="n"/>
      <c r="K21" s="3" t="n"/>
      <c r="L21" s="3">
        <f>L20+表10[[#This Row],[未入餘額]]-表10[[#This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表10[[#This Row],[支出]]-表10[[#This Row],[提前扣款]]</f>
        <v/>
      </c>
      <c r="I22" s="3">
        <f>表10[[#This Row],[實際應付]]</f>
        <v/>
      </c>
      <c r="J22" s="3" t="n"/>
      <c r="K22" s="3" t="n"/>
      <c r="L22" s="3">
        <f>L21+表10[[#This Row],[未入餘額]]-表10[[#This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表10[[#This Row],[支出]]-表10[[#This Row],[提前扣款]]</f>
        <v/>
      </c>
      <c r="I23" s="3">
        <f>表10[[#This Row],[實際應付]]</f>
        <v/>
      </c>
      <c r="J23" s="3" t="n"/>
      <c r="K23" s="3" t="n"/>
      <c r="L23" s="3">
        <f>L22+表10[[#This Row],[未入餘額]]-表10[[#This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表10[[#This Row],[支出]]-表10[[#This Row],[提前扣款]]</f>
        <v/>
      </c>
      <c r="I24" s="3">
        <f>表10[[#This Row],[實際應付]]</f>
        <v/>
      </c>
      <c r="J24" s="3" t="n"/>
      <c r="K24" s="3" t="n"/>
      <c r="L24" s="3">
        <f>L23+表10[[#This Row],[未入餘額]]-表10[[#This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表10[[#This Row],[支出]]-表10[[#This Row],[提前扣款]]</f>
        <v/>
      </c>
      <c r="I25" s="3">
        <f>表10[[#This Row],[實際應付]]</f>
        <v/>
      </c>
      <c r="J25" s="3" t="n"/>
      <c r="K25" s="3" t="n"/>
      <c r="L25" s="3">
        <f>L24+表10[[#This Row],[未入餘額]]-表10[[#This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表10[[#This Row],[支出]]-表10[[#This Row],[提前扣款]]</f>
        <v/>
      </c>
      <c r="I26" s="3">
        <f>表10[[#This Row],[實際應付]]</f>
        <v/>
      </c>
      <c r="J26" s="3" t="n"/>
      <c r="K26" s="3" t="n"/>
      <c r="L26" s="3">
        <f>L25+表10[[#This Row],[未入餘額]]-表10[[#This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表10[[#This Row],[支出]]-表10[[#This Row],[提前扣款]]</f>
        <v/>
      </c>
      <c r="I27" s="3">
        <f>表10[[#This Row],[實際應付]]</f>
        <v/>
      </c>
      <c r="J27" s="3" t="n"/>
      <c r="K27" s="3" t="n"/>
      <c r="L27" s="3">
        <f>L26+表10[[#This Row],[未入餘額]]-表10[[#This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表10[[#This Row],[支出]]-表10[[#This Row],[提前扣款]]</f>
        <v/>
      </c>
      <c r="I28" s="3">
        <f>表10[[#This Row],[實際應付]]</f>
        <v/>
      </c>
      <c r="J28" s="3" t="n"/>
      <c r="K28" s="3" t="n"/>
      <c r="L28" s="3">
        <f>L27+表10[[#This Row],[未入餘額]]-表10[[#This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表10[[#This Row],[支出]]-表10[[#This Row],[提前扣款]]</f>
        <v/>
      </c>
      <c r="I29" s="3">
        <f>表10[[#This Row],[實際應付]]</f>
        <v/>
      </c>
      <c r="J29" s="3" t="n"/>
      <c r="K29" s="3" t="n"/>
      <c r="L29" s="3">
        <f>L28+表10[[#This Row],[未入餘額]]-表10[[#This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表10[[#This Row],[支出]]-表10[[#This Row],[提前扣款]]</f>
        <v/>
      </c>
      <c r="I30" s="3">
        <f>表10[[#This Row],[實際應付]]</f>
        <v/>
      </c>
      <c r="J30" s="3" t="n"/>
      <c r="K30" s="3" t="n"/>
      <c r="L30" s="3">
        <f>L29+表10[[#This Row],[未入餘額]]-表10[[#This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表10[[#This Row],[支出]]-表10[[#This Row],[提前扣款]]</f>
        <v/>
      </c>
      <c r="I31" s="3">
        <f>表10[[#This Row],[實際應付]]</f>
        <v/>
      </c>
      <c r="J31" s="3" t="n"/>
      <c r="K31" s="3" t="n"/>
      <c r="L31" s="3">
        <f>L30+表10[[#This Row],[未入餘額]]-表10[[#This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表10[[#This Row],[支出]]-表10[[#This Row],[提前扣款]]</f>
        <v/>
      </c>
      <c r="I32" s="3">
        <f>表10[[#This Row],[實際應付]]</f>
        <v/>
      </c>
      <c r="J32" s="3" t="n"/>
      <c r="K32" s="3" t="n"/>
      <c r="L32" s="3">
        <f>L31+表10[[#This Row],[未入餘額]]-表10[[#This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表10[[#This Row],[支出]]-表10[[#This Row],[提前扣款]]</f>
        <v/>
      </c>
      <c r="I33" s="3">
        <f>表10[[#This Row],[實際應付]]</f>
        <v/>
      </c>
      <c r="J33" s="3" t="n"/>
      <c r="K33" s="3" t="n"/>
      <c r="L33" s="3">
        <f>L32+表10[[#This Row],[未入餘額]]-表10[[#This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表10[[#This Row],[支出]]-表10[[#This Row],[提前扣款]]</f>
        <v/>
      </c>
      <c r="I34" s="3">
        <f>表10[[#This Row],[實際應付]]</f>
        <v/>
      </c>
      <c r="J34" s="3" t="n"/>
      <c r="K34" s="3" t="n"/>
      <c r="L34" s="3">
        <f>L33+表10[[#This Row],[未入餘額]]-表10[[#This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表10[[#This Row],[支出]]-表10[[#This Row],[提前扣款]]</f>
        <v/>
      </c>
      <c r="I35" s="3">
        <f>表10[[#This Row],[實際應付]]</f>
        <v/>
      </c>
      <c r="J35" s="3" t="n"/>
      <c r="K35" s="3" t="n"/>
      <c r="L35" s="3">
        <f>L34+表10[[#This Row],[未入餘額]]-表10[[#This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表10[[#This Row],[支出]]-表10[[#This Row],[提前扣款]]</f>
        <v/>
      </c>
      <c r="I36" s="3">
        <f>表10[[#This Row],[實際應付]]</f>
        <v/>
      </c>
      <c r="J36" s="3" t="n"/>
      <c r="K36" s="3" t="n"/>
      <c r="L36" s="3">
        <f>L35+表10[[#This Row],[未入餘額]]-表10[[#This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表10[[#This Row],[支出]]-表10[[#This Row],[提前扣款]]</f>
        <v/>
      </c>
      <c r="I37" s="3">
        <f>表10[[#This Row],[實際應付]]</f>
        <v/>
      </c>
      <c r="J37" s="3" t="n"/>
      <c r="K37" s="3" t="n"/>
      <c r="L37" s="3">
        <f>L36+表10[[#This Row],[未入餘額]]-表10[[#This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表10[[#This Row],[支出]]-表10[[#This Row],[提前扣款]]</f>
        <v/>
      </c>
      <c r="I38" s="3">
        <f>表10[[#This Row],[實際應付]]</f>
        <v/>
      </c>
      <c r="J38" s="3" t="n"/>
      <c r="K38" s="3" t="n"/>
      <c r="L38" s="3">
        <f>L37+表10[[#This Row],[未入餘額]]-表10[[#This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表10[[#This Row],[支出]]-表10[[#This Row],[提前扣款]]</f>
        <v/>
      </c>
      <c r="I39" s="3">
        <f>表10[[#This Row],[實際應付]]</f>
        <v/>
      </c>
      <c r="J39" s="3" t="n"/>
      <c r="K39" s="3" t="n"/>
      <c r="L39" s="3">
        <f>L38+表10[[#This Row],[未入餘額]]-表10[[#This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表10[[#This Row],[支出]]-表10[[#This Row],[提前扣款]]</f>
        <v/>
      </c>
      <c r="I40" s="3">
        <f>表10[[#This Row],[實際應付]]</f>
        <v/>
      </c>
      <c r="J40" s="3" t="n"/>
      <c r="K40" s="3" t="n"/>
      <c r="L40" s="3">
        <f>L39+表10[[#This Row],[未入餘額]]-表10[[#This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表10[[#This Row],[支出]]-表10[[#This Row],[提前扣款]]</f>
        <v/>
      </c>
      <c r="I41" s="3">
        <f>表10[[#This Row],[實際應付]]</f>
        <v/>
      </c>
      <c r="J41" s="3" t="n"/>
      <c r="K41" s="3" t="n"/>
      <c r="L41" s="3">
        <f>L40+表10[[#This Row],[未入餘額]]-表10[[#This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表10[[#This Row],[支出]]-表10[[#This Row],[提前扣款]]</f>
        <v/>
      </c>
      <c r="I42" s="3">
        <f>表10[[#This Row],[實際應付]]</f>
        <v/>
      </c>
      <c r="J42" s="3" t="n"/>
      <c r="K42" s="3" t="n"/>
      <c r="L42" s="3">
        <f>L41+表10[[#This Row],[未入餘額]]-表10[[#This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表10[[#This Row],[支出]]-表10[[#This Row],[提前扣款]]</f>
        <v/>
      </c>
      <c r="I43" s="3">
        <f>表10[[#This Row],[實際應付]]</f>
        <v/>
      </c>
      <c r="J43" s="3" t="n"/>
      <c r="K43" s="3" t="n"/>
      <c r="L43" s="3">
        <f>L42+表10[[#This Row],[未入餘額]]-表10[[#This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表10[[#This Row],[支出]]-表10[[#This Row],[提前扣款]]</f>
        <v/>
      </c>
      <c r="I44" s="3">
        <f>表10[[#This Row],[實際應付]]</f>
        <v/>
      </c>
      <c r="J44" s="3" t="n"/>
      <c r="K44" s="3" t="n"/>
      <c r="L44" s="3">
        <f>L43+表10[[#This Row],[未入餘額]]-表10[[#This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表10[[#This Row],[支出]]-表10[[#This Row],[提前扣款]]</f>
        <v/>
      </c>
      <c r="I45" s="3">
        <f>表10[[#This Row],[實際應付]]</f>
        <v/>
      </c>
      <c r="J45" s="3" t="n"/>
      <c r="K45" s="3" t="n"/>
      <c r="L45" s="3">
        <f>L44+表10[[#This Row],[未入餘額]]-表10[[#This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表10[[#This Row],[支出]]-表10[[#This Row],[提前扣款]]</f>
        <v/>
      </c>
      <c r="I46" s="3">
        <f>表10[[#This Row],[實際應付]]</f>
        <v/>
      </c>
      <c r="J46" s="3" t="n"/>
      <c r="K46" s="3" t="n"/>
      <c r="L46" s="3">
        <f>L45+表10[[#This Row],[未入餘額]]-表10[[#This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4200000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表11[[#This Row],[支出]]-表11[[#This Row],[提前扣款]]</f>
        <v/>
      </c>
      <c r="I2" s="3">
        <f>表11[[#This Row],[實際應付]]</f>
        <v/>
      </c>
      <c r="J2" s="3" t="n"/>
      <c r="K2" s="3" t="n"/>
      <c r="L2" s="3">
        <f>$P$1+表11[[#This Row],[未入餘額]]-表11[[#This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表11[[#This Row],[支出]]-表11[[#This Row],[提前扣款]]</f>
        <v/>
      </c>
      <c r="I3" s="3">
        <f>表11[[#This Row],[實際應付]]</f>
        <v/>
      </c>
      <c r="J3" s="3" t="n"/>
      <c r="K3" s="3" t="n"/>
      <c r="L3" s="3">
        <f>L2+表11[[#This Row],[未入餘額]]-表11[[#This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表11[[#This Row],[支出]]-表11[[#This Row],[提前扣款]]</f>
        <v/>
      </c>
      <c r="I4" s="3">
        <f>表11[[#This Row],[實際應付]]</f>
        <v/>
      </c>
      <c r="J4" s="3" t="n"/>
      <c r="K4" s="3" t="n"/>
      <c r="L4" s="3">
        <f>L3+表11[[#This Row],[未入餘額]]-表11[[#This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表11[[#This Row],[支出]]-表11[[#This Row],[提前扣款]]</f>
        <v/>
      </c>
      <c r="I5" s="3">
        <f>表11[[#This Row],[實際應付]]</f>
        <v/>
      </c>
      <c r="J5" s="3" t="n"/>
      <c r="K5" s="3" t="n"/>
      <c r="L5" s="3">
        <f>L4+表11[[#This Row],[未入餘額]]-表11[[#This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表11[[#This Row],[支出]]-表11[[#This Row],[提前扣款]]</f>
        <v/>
      </c>
      <c r="I6" s="3">
        <f>表11[[#This Row],[實際應付]]</f>
        <v/>
      </c>
      <c r="J6" s="3" t="n"/>
      <c r="K6" s="3" t="n"/>
      <c r="L6" s="3">
        <f>L5+表11[[#This Row],[未入餘額]]-表11[[#This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表11[[#This Row],[支出]]-表11[[#This Row],[提前扣款]]</f>
        <v/>
      </c>
      <c r="I7" s="3">
        <f>表11[[#This Row],[實際應付]]</f>
        <v/>
      </c>
      <c r="J7" s="3" t="n"/>
      <c r="K7" s="3" t="n"/>
      <c r="L7" s="3">
        <f>L6+表11[[#This Row],[未入餘額]]-表11[[#This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表11[[#This Row],[支出]]-表11[[#This Row],[提前扣款]]</f>
        <v/>
      </c>
      <c r="I8" s="3">
        <f>表11[[#This Row],[實際應付]]</f>
        <v/>
      </c>
      <c r="J8" s="3" t="n"/>
      <c r="K8" s="3" t="n"/>
      <c r="L8" s="3">
        <f>L7+表11[[#This Row],[未入餘額]]-表11[[#This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表11[[#This Row],[支出]]-表11[[#This Row],[提前扣款]]</f>
        <v/>
      </c>
      <c r="I9" s="3">
        <f>表11[[#This Row],[實際應付]]</f>
        <v/>
      </c>
      <c r="J9" s="3" t="n"/>
      <c r="K9" s="3" t="n"/>
      <c r="L9" s="3">
        <f>L8+表11[[#This Row],[未入餘額]]-表11[[#This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表11[[#This Row],[支出]]-表11[[#This Row],[提前扣款]]</f>
        <v/>
      </c>
      <c r="I10" s="3">
        <f>表11[[#This Row],[實際應付]]</f>
        <v/>
      </c>
      <c r="J10" s="3" t="n"/>
      <c r="K10" s="3" t="n"/>
      <c r="L10" s="3">
        <f>L9+表11[[#This Row],[未入餘額]]-表11[[#This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表11[[#This Row],[支出]]-表11[[#This Row],[提前扣款]]</f>
        <v/>
      </c>
      <c r="I11" s="3">
        <f>表11[[#This Row],[實際應付]]</f>
        <v/>
      </c>
      <c r="J11" s="3" t="n"/>
      <c r="K11" s="3" t="n"/>
      <c r="L11" s="3">
        <f>L10+表11[[#This Row],[未入餘額]]-表11[[#This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表11[[#This Row],[支出]]-表11[[#This Row],[提前扣款]]</f>
        <v/>
      </c>
      <c r="I12" s="3">
        <f>表11[[#This Row],[實際應付]]</f>
        <v/>
      </c>
      <c r="J12" s="3" t="n"/>
      <c r="K12" s="3" t="n"/>
      <c r="L12" s="3">
        <f>L11+表11[[#This Row],[未入餘額]]-表11[[#This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表11[[#This Row],[支出]]-表11[[#This Row],[提前扣款]]</f>
        <v/>
      </c>
      <c r="I13" s="3">
        <f>表11[[#This Row],[實際應付]]</f>
        <v/>
      </c>
      <c r="J13" s="3" t="n"/>
      <c r="K13" s="3" t="n"/>
      <c r="L13" s="3">
        <f>L12+表11[[#This Row],[未入餘額]]-表11[[#This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表11[[#This Row],[支出]]-表11[[#This Row],[提前扣款]]</f>
        <v/>
      </c>
      <c r="I14" s="3">
        <f>表11[[#This Row],[實際應付]]</f>
        <v/>
      </c>
      <c r="J14" s="3" t="n"/>
      <c r="K14" s="3" t="n"/>
      <c r="L14" s="3">
        <f>L13+表11[[#This Row],[未入餘額]]-表11[[#This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表11[[#This Row],[支出]]-表11[[#This Row],[提前扣款]]</f>
        <v/>
      </c>
      <c r="I15" s="3">
        <f>表11[[#This Row],[實際應付]]</f>
        <v/>
      </c>
      <c r="J15" s="3" t="n"/>
      <c r="K15" s="3" t="n"/>
      <c r="L15" s="3">
        <f>L14+表11[[#This Row],[未入餘額]]-表11[[#This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表11[[#This Row],[支出]]-表11[[#This Row],[提前扣款]]</f>
        <v/>
      </c>
      <c r="I16" s="3">
        <f>表11[[#This Row],[實際應付]]</f>
        <v/>
      </c>
      <c r="J16" s="3" t="n"/>
      <c r="K16" s="3" t="n"/>
      <c r="L16" s="3">
        <f>L15+表11[[#This Row],[未入餘額]]-表11[[#This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表11[[#This Row],[支出]]-表11[[#This Row],[提前扣款]]</f>
        <v/>
      </c>
      <c r="I17" s="3">
        <f>表11[[#This Row],[實際應付]]</f>
        <v/>
      </c>
      <c r="J17" s="3" t="n"/>
      <c r="K17" s="3" t="n"/>
      <c r="L17" s="3">
        <f>L16+表11[[#This Row],[未入餘額]]-表11[[#This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表11[[#This Row],[支出]]-表11[[#This Row],[提前扣款]]</f>
        <v/>
      </c>
      <c r="I18" s="3">
        <f>表11[[#This Row],[實際應付]]</f>
        <v/>
      </c>
      <c r="J18" s="3" t="n"/>
      <c r="K18" s="3" t="n"/>
      <c r="L18" s="3">
        <f>L17+表11[[#This Row],[未入餘額]]-表11[[#This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表11[[#This Row],[支出]]-表11[[#This Row],[提前扣款]]</f>
        <v/>
      </c>
      <c r="I19" s="3">
        <f>表11[[#This Row],[實際應付]]</f>
        <v/>
      </c>
      <c r="J19" s="3" t="n"/>
      <c r="K19" s="3" t="n"/>
      <c r="L19" s="3">
        <f>L18+表11[[#This Row],[未入餘額]]-表11[[#This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表11[[#This Row],[支出]]-表11[[#This Row],[提前扣款]]</f>
        <v/>
      </c>
      <c r="I20" s="3">
        <f>表11[[#This Row],[實際應付]]</f>
        <v/>
      </c>
      <c r="J20" s="3" t="n"/>
      <c r="K20" s="3" t="n"/>
      <c r="L20" s="3">
        <f>L19+表11[[#This Row],[未入餘額]]-表11[[#This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表11[[#This Row],[支出]]-表11[[#This Row],[提前扣款]]</f>
        <v/>
      </c>
      <c r="I21" s="3">
        <f>表11[[#This Row],[實際應付]]</f>
        <v/>
      </c>
      <c r="J21" s="3" t="n"/>
      <c r="K21" s="3" t="n"/>
      <c r="L21" s="3">
        <f>L20+表11[[#This Row],[未入餘額]]-表11[[#This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表11[[#This Row],[支出]]-表11[[#This Row],[提前扣款]]</f>
        <v/>
      </c>
      <c r="I22" s="3">
        <f>表11[[#This Row],[實際應付]]</f>
        <v/>
      </c>
      <c r="J22" s="3" t="n"/>
      <c r="K22" s="3" t="n"/>
      <c r="L22" s="3">
        <f>L21+表11[[#This Row],[未入餘額]]-表11[[#This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表11[[#This Row],[支出]]-表11[[#This Row],[提前扣款]]</f>
        <v/>
      </c>
      <c r="I23" s="3">
        <f>表11[[#This Row],[實際應付]]</f>
        <v/>
      </c>
      <c r="J23" s="3" t="n"/>
      <c r="K23" s="3" t="n"/>
      <c r="L23" s="3">
        <f>L22+表11[[#This Row],[未入餘額]]-表11[[#This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表11[[#This Row],[支出]]-表11[[#This Row],[提前扣款]]</f>
        <v/>
      </c>
      <c r="I24" s="3">
        <f>表11[[#This Row],[實際應付]]</f>
        <v/>
      </c>
      <c r="J24" s="3" t="n"/>
      <c r="K24" s="3" t="n"/>
      <c r="L24" s="3">
        <f>L23+表11[[#This Row],[未入餘額]]-表11[[#This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表11[[#This Row],[支出]]-表11[[#This Row],[提前扣款]]</f>
        <v/>
      </c>
      <c r="I25" s="3">
        <f>表11[[#This Row],[實際應付]]</f>
        <v/>
      </c>
      <c r="J25" s="3" t="n"/>
      <c r="K25" s="3" t="n"/>
      <c r="L25" s="3">
        <f>L24+表11[[#This Row],[未入餘額]]-表11[[#This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表11[[#This Row],[支出]]-表11[[#This Row],[提前扣款]]</f>
        <v/>
      </c>
      <c r="I26" s="3">
        <f>表11[[#This Row],[實際應付]]</f>
        <v/>
      </c>
      <c r="J26" s="3" t="n"/>
      <c r="K26" s="3" t="n"/>
      <c r="L26" s="3">
        <f>L25+表11[[#This Row],[未入餘額]]-表11[[#This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表11[[#This Row],[支出]]-表11[[#This Row],[提前扣款]]</f>
        <v/>
      </c>
      <c r="I27" s="3">
        <f>表11[[#This Row],[實際應付]]</f>
        <v/>
      </c>
      <c r="J27" s="3" t="n"/>
      <c r="K27" s="3" t="n"/>
      <c r="L27" s="3">
        <f>L26+表11[[#This Row],[未入餘額]]-表11[[#This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表11[[#This Row],[支出]]-表11[[#This Row],[提前扣款]]</f>
        <v/>
      </c>
      <c r="I28" s="3">
        <f>表11[[#This Row],[實際應付]]</f>
        <v/>
      </c>
      <c r="J28" s="3" t="n"/>
      <c r="K28" s="3" t="n"/>
      <c r="L28" s="3">
        <f>L27+表11[[#This Row],[未入餘額]]-表11[[#This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表11[[#This Row],[支出]]-表11[[#This Row],[提前扣款]]</f>
        <v/>
      </c>
      <c r="I29" s="3">
        <f>表11[[#This Row],[實際應付]]</f>
        <v/>
      </c>
      <c r="J29" s="3" t="n"/>
      <c r="K29" s="3" t="n"/>
      <c r="L29" s="3">
        <f>L28+表11[[#This Row],[未入餘額]]-表11[[#This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表11[[#This Row],[支出]]-表11[[#This Row],[提前扣款]]</f>
        <v/>
      </c>
      <c r="I30" s="3">
        <f>表11[[#This Row],[實際應付]]</f>
        <v/>
      </c>
      <c r="J30" s="3" t="n"/>
      <c r="K30" s="3" t="n"/>
      <c r="L30" s="3">
        <f>L29+表11[[#This Row],[未入餘額]]-表11[[#This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表11[[#This Row],[支出]]-表11[[#This Row],[提前扣款]]</f>
        <v/>
      </c>
      <c r="I31" s="3">
        <f>表11[[#This Row],[實際應付]]</f>
        <v/>
      </c>
      <c r="J31" s="3" t="n"/>
      <c r="K31" s="3" t="n"/>
      <c r="L31" s="3">
        <f>L30+表11[[#This Row],[未入餘額]]-表11[[#This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表11[[#This Row],[支出]]-表11[[#This Row],[提前扣款]]</f>
        <v/>
      </c>
      <c r="I32" s="3">
        <f>表11[[#This Row],[實際應付]]</f>
        <v/>
      </c>
      <c r="J32" s="3" t="n"/>
      <c r="K32" s="3" t="n"/>
      <c r="L32" s="3">
        <f>L31+表11[[#This Row],[未入餘額]]-表11[[#This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表11[[#This Row],[支出]]-表11[[#This Row],[提前扣款]]</f>
        <v/>
      </c>
      <c r="I33" s="3">
        <f>表11[[#This Row],[實際應付]]</f>
        <v/>
      </c>
      <c r="J33" s="3" t="n"/>
      <c r="K33" s="3" t="n"/>
      <c r="L33" s="3">
        <f>L32+表11[[#This Row],[未入餘額]]-表11[[#This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表11[[#This Row],[支出]]-表11[[#This Row],[提前扣款]]</f>
        <v/>
      </c>
      <c r="I34" s="3">
        <f>表11[[#This Row],[實際應付]]</f>
        <v/>
      </c>
      <c r="J34" s="3" t="n"/>
      <c r="K34" s="3" t="n"/>
      <c r="L34" s="3">
        <f>L33+表11[[#This Row],[未入餘額]]-表11[[#This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表11[[#This Row],[支出]]-表11[[#This Row],[提前扣款]]</f>
        <v/>
      </c>
      <c r="I35" s="3">
        <f>表11[[#This Row],[實際應付]]</f>
        <v/>
      </c>
      <c r="J35" s="3" t="n"/>
      <c r="K35" s="3" t="n"/>
      <c r="L35" s="3">
        <f>L34+表11[[#This Row],[未入餘額]]-表11[[#This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表11[[#This Row],[支出]]-表11[[#This Row],[提前扣款]]</f>
        <v/>
      </c>
      <c r="I36" s="3">
        <f>表11[[#This Row],[實際應付]]</f>
        <v/>
      </c>
      <c r="J36" s="3" t="n"/>
      <c r="K36" s="3" t="n"/>
      <c r="L36" s="3">
        <f>L35+表11[[#This Row],[未入餘額]]-表11[[#This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表11[[#This Row],[支出]]-表11[[#This Row],[提前扣款]]</f>
        <v/>
      </c>
      <c r="I37" s="3">
        <f>表11[[#This Row],[實際應付]]</f>
        <v/>
      </c>
      <c r="J37" s="3" t="n"/>
      <c r="K37" s="3" t="n"/>
      <c r="L37" s="3">
        <f>L36+表11[[#This Row],[未入餘額]]-表11[[#This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表11[[#This Row],[支出]]-表11[[#This Row],[提前扣款]]</f>
        <v/>
      </c>
      <c r="I38" s="3">
        <f>表11[[#This Row],[實際應付]]</f>
        <v/>
      </c>
      <c r="J38" s="3" t="n"/>
      <c r="K38" s="3" t="n"/>
      <c r="L38" s="3">
        <f>L37+表11[[#This Row],[未入餘額]]-表11[[#This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表11[[#This Row],[支出]]-表11[[#This Row],[提前扣款]]</f>
        <v/>
      </c>
      <c r="I39" s="3">
        <f>表11[[#This Row],[實際應付]]</f>
        <v/>
      </c>
      <c r="J39" s="3" t="n"/>
      <c r="K39" s="3" t="n"/>
      <c r="L39" s="3">
        <f>L38+表11[[#This Row],[未入餘額]]-表11[[#This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表11[[#This Row],[支出]]-表11[[#This Row],[提前扣款]]</f>
        <v/>
      </c>
      <c r="I40" s="3">
        <f>表11[[#This Row],[實際應付]]</f>
        <v/>
      </c>
      <c r="J40" s="3" t="n"/>
      <c r="K40" s="3" t="n"/>
      <c r="L40" s="3">
        <f>L39+表11[[#This Row],[未入餘額]]-表11[[#This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表11[[#This Row],[支出]]-表11[[#This Row],[提前扣款]]</f>
        <v/>
      </c>
      <c r="I41" s="3">
        <f>表11[[#This Row],[實際應付]]</f>
        <v/>
      </c>
      <c r="J41" s="3" t="n"/>
      <c r="K41" s="3" t="n"/>
      <c r="L41" s="3">
        <f>L40+表11[[#This Row],[未入餘額]]-表11[[#This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表11[[#This Row],[支出]]-表11[[#This Row],[提前扣款]]</f>
        <v/>
      </c>
      <c r="I42" s="3">
        <f>表11[[#This Row],[實際應付]]</f>
        <v/>
      </c>
      <c r="J42" s="3" t="n"/>
      <c r="K42" s="3" t="n"/>
      <c r="L42" s="3">
        <f>L41+表11[[#This Row],[未入餘額]]-表11[[#This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表11[[#This Row],[支出]]-表11[[#This Row],[提前扣款]]</f>
        <v/>
      </c>
      <c r="I43" s="3">
        <f>表11[[#This Row],[實際應付]]</f>
        <v/>
      </c>
      <c r="J43" s="3" t="n"/>
      <c r="K43" s="3" t="n"/>
      <c r="L43" s="3">
        <f>L42+表11[[#This Row],[未入餘額]]-表11[[#This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表11[[#This Row],[支出]]-表11[[#This Row],[提前扣款]]</f>
        <v/>
      </c>
      <c r="I44" s="3">
        <f>表11[[#This Row],[實際應付]]</f>
        <v/>
      </c>
      <c r="J44" s="3" t="n"/>
      <c r="K44" s="3" t="n"/>
      <c r="L44" s="3">
        <f>L43+表11[[#This Row],[未入餘額]]-表11[[#This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表11[[#This Row],[支出]]-表11[[#This Row],[提前扣款]]</f>
        <v/>
      </c>
      <c r="I45" s="3">
        <f>表11[[#This Row],[實際應付]]</f>
        <v/>
      </c>
      <c r="J45" s="3" t="n"/>
      <c r="K45" s="3" t="n"/>
      <c r="L45" s="3">
        <f>L44+表11[[#This Row],[未入餘額]]-表11[[#This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表11[[#This Row],[支出]]-表11[[#This Row],[提前扣款]]</f>
        <v/>
      </c>
      <c r="I46" s="3">
        <f>表11[[#This Row],[實際應付]]</f>
        <v/>
      </c>
      <c r="J46" s="3" t="n"/>
      <c r="K46" s="3" t="n"/>
      <c r="L46" s="3">
        <f>L45+表11[[#This Row],[未入餘額]]-表11[[#This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8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>
      <c r="A1" s="1" t="inlineStr">
        <is>
          <t>序</t>
        </is>
      </c>
      <c r="B1" s="1" t="inlineStr">
        <is>
          <t>星期</t>
        </is>
      </c>
      <c r="C1" s="1" t="inlineStr">
        <is>
          <t>日期</t>
        </is>
      </c>
      <c r="D1" s="1" t="inlineStr">
        <is>
          <t>銀行</t>
        </is>
      </c>
      <c r="E1" s="1" t="inlineStr">
        <is>
          <t>摘要</t>
        </is>
      </c>
      <c r="F1" s="1" t="inlineStr">
        <is>
          <t>支出</t>
        </is>
      </c>
      <c r="G1" s="1" t="inlineStr">
        <is>
          <t>提前扣款</t>
        </is>
      </c>
      <c r="H1" s="1" t="inlineStr">
        <is>
          <t>實際應付</t>
        </is>
      </c>
      <c r="I1" s="1" t="inlineStr">
        <is>
          <t>應付餘額</t>
        </is>
      </c>
      <c r="J1" s="1" t="inlineStr">
        <is>
          <t>收入</t>
        </is>
      </c>
      <c r="K1" s="1" t="inlineStr">
        <is>
          <t>未入餘額</t>
        </is>
      </c>
      <c r="L1" s="1" t="inlineStr">
        <is>
          <t>目前現金</t>
        </is>
      </c>
      <c r="M1" s="1" t="inlineStr">
        <is>
          <t>備註</t>
        </is>
      </c>
      <c r="O1" s="2" t="inlineStr">
        <is>
          <t>期初現金</t>
        </is>
      </c>
      <c r="P1" s="3" t="n">
        <v>4320000</v>
      </c>
    </row>
    <row r="2">
      <c r="A2" s="2" t="n">
        <v>1</v>
      </c>
      <c r="B2" s="2">
        <f>IF(C2="","",TEXT(C2,"aaa"))</f>
        <v/>
      </c>
      <c r="C2" s="4" t="n"/>
      <c r="D2" s="2" t="n"/>
      <c r="E2" s="2" t="n"/>
      <c r="F2" s="3" t="n"/>
      <c r="G2" s="3" t="n"/>
      <c r="H2" s="3">
        <f>表12[[#This Row],[支出]]-表12[[#This Row],[提前扣款]]</f>
        <v/>
      </c>
      <c r="I2" s="3">
        <f>表12[[#This Row],[實際應付]]</f>
        <v/>
      </c>
      <c r="J2" s="3" t="n"/>
      <c r="K2" s="3" t="n"/>
      <c r="L2" s="3">
        <f>$P$1+表12[[#This Row],[未入餘額]]-表12[[#This Row],[應付餘額]]</f>
        <v/>
      </c>
      <c r="M2" s="2" t="n"/>
    </row>
    <row r="3">
      <c r="A3" s="2" t="n">
        <v>2</v>
      </c>
      <c r="B3" s="2">
        <f>IF(C3="","",TEXT(C3,"aaa"))</f>
        <v/>
      </c>
      <c r="C3" s="4" t="n"/>
      <c r="D3" s="2" t="n"/>
      <c r="E3" s="2" t="n"/>
      <c r="F3" s="3" t="n"/>
      <c r="G3" s="3" t="n"/>
      <c r="H3" s="3">
        <f>表12[[#This Row],[支出]]-表12[[#This Row],[提前扣款]]</f>
        <v/>
      </c>
      <c r="I3" s="3">
        <f>表12[[#This Row],[實際應付]]</f>
        <v/>
      </c>
      <c r="J3" s="3" t="n"/>
      <c r="K3" s="3" t="n"/>
      <c r="L3" s="3">
        <f>L2+表12[[#This Row],[未入餘額]]-表12[[#This Row],[應付餘額]]</f>
        <v/>
      </c>
      <c r="M3" s="2" t="n"/>
    </row>
    <row r="4">
      <c r="A4" s="2" t="n">
        <v>3</v>
      </c>
      <c r="B4" s="2">
        <f>IF(C4="","",TEXT(C4,"aaa"))</f>
        <v/>
      </c>
      <c r="C4" s="4" t="n"/>
      <c r="D4" s="2" t="n"/>
      <c r="E4" s="2" t="n"/>
      <c r="F4" s="3" t="n"/>
      <c r="G4" s="3" t="n"/>
      <c r="H4" s="3">
        <f>表12[[#This Row],[支出]]-表12[[#This Row],[提前扣款]]</f>
        <v/>
      </c>
      <c r="I4" s="3">
        <f>表12[[#This Row],[實際應付]]</f>
        <v/>
      </c>
      <c r="J4" s="3" t="n"/>
      <c r="K4" s="3" t="n"/>
      <c r="L4" s="3">
        <f>L3+表12[[#This Row],[未入餘額]]-表12[[#This Row],[應付餘額]]</f>
        <v/>
      </c>
      <c r="M4" s="2" t="n"/>
    </row>
    <row r="5">
      <c r="A5" s="2" t="n">
        <v>4</v>
      </c>
      <c r="B5" s="2">
        <f>IF(C5="","",TEXT(C5,"aaa"))</f>
        <v/>
      </c>
      <c r="C5" s="4" t="n"/>
      <c r="D5" s="2" t="n"/>
      <c r="E5" s="2" t="n"/>
      <c r="F5" s="3" t="n"/>
      <c r="G5" s="3" t="n"/>
      <c r="H5" s="3">
        <f>表12[[#This Row],[支出]]-表12[[#This Row],[提前扣款]]</f>
        <v/>
      </c>
      <c r="I5" s="3">
        <f>表12[[#This Row],[實際應付]]</f>
        <v/>
      </c>
      <c r="J5" s="3" t="n"/>
      <c r="K5" s="3" t="n"/>
      <c r="L5" s="3">
        <f>L4+表12[[#This Row],[未入餘額]]-表12[[#This Row],[應付餘額]]</f>
        <v/>
      </c>
      <c r="M5" s="2" t="n"/>
    </row>
    <row r="6">
      <c r="A6" s="2" t="n">
        <v>5</v>
      </c>
      <c r="B6" s="2">
        <f>IF(C6="","",TEXT(C6,"aaa"))</f>
        <v/>
      </c>
      <c r="C6" s="4" t="n"/>
      <c r="D6" s="2" t="n"/>
      <c r="E6" s="2" t="n"/>
      <c r="F6" s="3" t="n"/>
      <c r="G6" s="3" t="n"/>
      <c r="H6" s="3">
        <f>表12[[#This Row],[支出]]-表12[[#This Row],[提前扣款]]</f>
        <v/>
      </c>
      <c r="I6" s="3">
        <f>表12[[#This Row],[實際應付]]</f>
        <v/>
      </c>
      <c r="J6" s="3" t="n"/>
      <c r="K6" s="3" t="n"/>
      <c r="L6" s="3">
        <f>L5+表12[[#This Row],[未入餘額]]-表12[[#This Row],[應付餘額]]</f>
        <v/>
      </c>
      <c r="M6" s="2" t="n"/>
    </row>
    <row r="7">
      <c r="A7" s="2" t="n">
        <v>6</v>
      </c>
      <c r="B7" s="2">
        <f>IF(C7="","",TEXT(C7,"aaa"))</f>
        <v/>
      </c>
      <c r="C7" s="4" t="n"/>
      <c r="D7" s="2" t="n"/>
      <c r="E7" s="2" t="n"/>
      <c r="F7" s="3" t="n"/>
      <c r="G7" s="3" t="n"/>
      <c r="H7" s="3">
        <f>表12[[#This Row],[支出]]-表12[[#This Row],[提前扣款]]</f>
        <v/>
      </c>
      <c r="I7" s="3">
        <f>表12[[#This Row],[實際應付]]</f>
        <v/>
      </c>
      <c r="J7" s="3" t="n"/>
      <c r="K7" s="3" t="n"/>
      <c r="L7" s="3">
        <f>L6+表12[[#This Row],[未入餘額]]-表12[[#This Row],[應付餘額]]</f>
        <v/>
      </c>
      <c r="M7" s="2" t="n"/>
    </row>
    <row r="8">
      <c r="A8" s="2" t="n">
        <v>7</v>
      </c>
      <c r="B8" s="2">
        <f>IF(C8="","",TEXT(C8,"aaa"))</f>
        <v/>
      </c>
      <c r="C8" s="4" t="n"/>
      <c r="D8" s="2" t="n"/>
      <c r="E8" s="2" t="n"/>
      <c r="F8" s="3" t="n"/>
      <c r="G8" s="3" t="n"/>
      <c r="H8" s="3">
        <f>表12[[#This Row],[支出]]-表12[[#This Row],[提前扣款]]</f>
        <v/>
      </c>
      <c r="I8" s="3">
        <f>表12[[#This Row],[實際應付]]</f>
        <v/>
      </c>
      <c r="J8" s="3" t="n"/>
      <c r="K8" s="3" t="n"/>
      <c r="L8" s="3">
        <f>L7+表12[[#This Row],[未入餘額]]-表12[[#This Row],[應付餘額]]</f>
        <v/>
      </c>
      <c r="M8" s="2" t="n"/>
    </row>
    <row r="9">
      <c r="A9" s="2" t="n">
        <v>8</v>
      </c>
      <c r="B9" s="2">
        <f>IF(C9="","",TEXT(C9,"aaa"))</f>
        <v/>
      </c>
      <c r="C9" s="4" t="n"/>
      <c r="D9" s="2" t="n"/>
      <c r="E9" s="2" t="n"/>
      <c r="F9" s="3" t="n"/>
      <c r="G9" s="3" t="n"/>
      <c r="H9" s="3">
        <f>表12[[#This Row],[支出]]-表12[[#This Row],[提前扣款]]</f>
        <v/>
      </c>
      <c r="I9" s="3">
        <f>表12[[#This Row],[實際應付]]</f>
        <v/>
      </c>
      <c r="J9" s="3" t="n"/>
      <c r="K9" s="3" t="n"/>
      <c r="L9" s="3">
        <f>L8+表12[[#This Row],[未入餘額]]-表12[[#This Row],[應付餘額]]</f>
        <v/>
      </c>
      <c r="M9" s="2" t="n"/>
    </row>
    <row r="10">
      <c r="A10" s="2" t="n">
        <v>9</v>
      </c>
      <c r="B10" s="2">
        <f>IF(C10="","",TEXT(C10,"aaa"))</f>
        <v/>
      </c>
      <c r="C10" s="4" t="n"/>
      <c r="D10" s="2" t="n"/>
      <c r="E10" s="2" t="n"/>
      <c r="F10" s="3" t="n"/>
      <c r="G10" s="3" t="n"/>
      <c r="H10" s="3">
        <f>表12[[#This Row],[支出]]-表12[[#This Row],[提前扣款]]</f>
        <v/>
      </c>
      <c r="I10" s="3">
        <f>表12[[#This Row],[實際應付]]</f>
        <v/>
      </c>
      <c r="J10" s="3" t="n"/>
      <c r="K10" s="3" t="n"/>
      <c r="L10" s="3">
        <f>L9+表12[[#This Row],[未入餘額]]-表12[[#This Row],[應付餘額]]</f>
        <v/>
      </c>
      <c r="M10" s="2" t="n"/>
    </row>
    <row r="11">
      <c r="A11" s="2" t="n">
        <v>10</v>
      </c>
      <c r="B11" s="2">
        <f>IF(C11="","",TEXT(C11,"aaa"))</f>
        <v/>
      </c>
      <c r="C11" s="4" t="n"/>
      <c r="D11" s="2" t="n"/>
      <c r="E11" s="2" t="n"/>
      <c r="F11" s="3" t="n"/>
      <c r="G11" s="3" t="n"/>
      <c r="H11" s="3">
        <f>表12[[#This Row],[支出]]-表12[[#This Row],[提前扣款]]</f>
        <v/>
      </c>
      <c r="I11" s="3">
        <f>表12[[#This Row],[實際應付]]</f>
        <v/>
      </c>
      <c r="J11" s="3" t="n"/>
      <c r="K11" s="3" t="n"/>
      <c r="L11" s="3">
        <f>L10+表12[[#This Row],[未入餘額]]-表12[[#This Row],[應付餘額]]</f>
        <v/>
      </c>
      <c r="M11" s="2" t="n"/>
    </row>
    <row r="12">
      <c r="A12" s="2" t="n">
        <v>11</v>
      </c>
      <c r="B12" s="2">
        <f>IF(C12="","",TEXT(C12,"aaa"))</f>
        <v/>
      </c>
      <c r="C12" s="4" t="n"/>
      <c r="D12" s="2" t="n"/>
      <c r="E12" s="2" t="n"/>
      <c r="F12" s="3" t="n"/>
      <c r="G12" s="3" t="n"/>
      <c r="H12" s="3">
        <f>表12[[#This Row],[支出]]-表12[[#This Row],[提前扣款]]</f>
        <v/>
      </c>
      <c r="I12" s="3">
        <f>表12[[#This Row],[實際應付]]</f>
        <v/>
      </c>
      <c r="J12" s="3" t="n"/>
      <c r="K12" s="3" t="n"/>
      <c r="L12" s="3">
        <f>L11+表12[[#This Row],[未入餘額]]-表12[[#This Row],[應付餘額]]</f>
        <v/>
      </c>
      <c r="M12" s="2" t="n"/>
    </row>
    <row r="13">
      <c r="A13" s="2" t="n">
        <v>12</v>
      </c>
      <c r="B13" s="2">
        <f>IF(C13="","",TEXT(C13,"aaa"))</f>
        <v/>
      </c>
      <c r="C13" s="4" t="n"/>
      <c r="D13" s="2" t="n"/>
      <c r="E13" s="2" t="n"/>
      <c r="F13" s="3" t="n"/>
      <c r="G13" s="3" t="n"/>
      <c r="H13" s="3">
        <f>表12[[#This Row],[支出]]-表12[[#This Row],[提前扣款]]</f>
        <v/>
      </c>
      <c r="I13" s="3">
        <f>表12[[#This Row],[實際應付]]</f>
        <v/>
      </c>
      <c r="J13" s="3" t="n"/>
      <c r="K13" s="3" t="n"/>
      <c r="L13" s="3">
        <f>L12+表12[[#This Row],[未入餘額]]-表12[[#This Row],[應付餘額]]</f>
        <v/>
      </c>
      <c r="M13" s="2" t="n"/>
    </row>
    <row r="14">
      <c r="A14" s="2" t="n">
        <v>13</v>
      </c>
      <c r="B14" s="2">
        <f>IF(C14="","",TEXT(C14,"aaa"))</f>
        <v/>
      </c>
      <c r="C14" s="4" t="n"/>
      <c r="D14" s="2" t="n"/>
      <c r="E14" s="2" t="n"/>
      <c r="F14" s="3" t="n"/>
      <c r="G14" s="3" t="n"/>
      <c r="H14" s="3">
        <f>表12[[#This Row],[支出]]-表12[[#This Row],[提前扣款]]</f>
        <v/>
      </c>
      <c r="I14" s="3">
        <f>表12[[#This Row],[實際應付]]</f>
        <v/>
      </c>
      <c r="J14" s="3" t="n"/>
      <c r="K14" s="3" t="n"/>
      <c r="L14" s="3">
        <f>L13+表12[[#This Row],[未入餘額]]-表12[[#This Row],[應付餘額]]</f>
        <v/>
      </c>
      <c r="M14" s="2" t="n"/>
    </row>
    <row r="15">
      <c r="A15" s="2" t="n">
        <v>14</v>
      </c>
      <c r="B15" s="2">
        <f>IF(C15="","",TEXT(C15,"aaa"))</f>
        <v/>
      </c>
      <c r="C15" s="4" t="n"/>
      <c r="D15" s="2" t="n"/>
      <c r="E15" s="2" t="n"/>
      <c r="F15" s="3" t="n"/>
      <c r="G15" s="3" t="n"/>
      <c r="H15" s="3">
        <f>表12[[#This Row],[支出]]-表12[[#This Row],[提前扣款]]</f>
        <v/>
      </c>
      <c r="I15" s="3">
        <f>表12[[#This Row],[實際應付]]</f>
        <v/>
      </c>
      <c r="J15" s="3" t="n"/>
      <c r="K15" s="3" t="n"/>
      <c r="L15" s="3">
        <f>L14+表12[[#This Row],[未入餘額]]-表12[[#This Row],[應付餘額]]</f>
        <v/>
      </c>
      <c r="M15" s="2" t="n"/>
    </row>
    <row r="16">
      <c r="A16" s="2" t="n">
        <v>15</v>
      </c>
      <c r="B16" s="2">
        <f>IF(C16="","",TEXT(C16,"aaa"))</f>
        <v/>
      </c>
      <c r="C16" s="4" t="n"/>
      <c r="D16" s="2" t="n"/>
      <c r="E16" s="2" t="n"/>
      <c r="F16" s="3" t="n"/>
      <c r="G16" s="3" t="n"/>
      <c r="H16" s="3">
        <f>表12[[#This Row],[支出]]-表12[[#This Row],[提前扣款]]</f>
        <v/>
      </c>
      <c r="I16" s="3">
        <f>表12[[#This Row],[實際應付]]</f>
        <v/>
      </c>
      <c r="J16" s="3" t="n"/>
      <c r="K16" s="3" t="n"/>
      <c r="L16" s="3">
        <f>L15+表12[[#This Row],[未入餘額]]-表12[[#This Row],[應付餘額]]</f>
        <v/>
      </c>
      <c r="M16" s="2" t="n"/>
    </row>
    <row r="17">
      <c r="A17" s="2" t="n">
        <v>16</v>
      </c>
      <c r="B17" s="2">
        <f>IF(C17="","",TEXT(C17,"aaa"))</f>
        <v/>
      </c>
      <c r="C17" s="4" t="n"/>
      <c r="D17" s="2" t="n"/>
      <c r="E17" s="2" t="n"/>
      <c r="F17" s="3" t="n"/>
      <c r="G17" s="3" t="n"/>
      <c r="H17" s="3">
        <f>表12[[#This Row],[支出]]-表12[[#This Row],[提前扣款]]</f>
        <v/>
      </c>
      <c r="I17" s="3">
        <f>表12[[#This Row],[實際應付]]</f>
        <v/>
      </c>
      <c r="J17" s="3" t="n"/>
      <c r="K17" s="3" t="n"/>
      <c r="L17" s="3">
        <f>L16+表12[[#This Row],[未入餘額]]-表12[[#This Row],[應付餘額]]</f>
        <v/>
      </c>
      <c r="M17" s="2" t="n"/>
    </row>
    <row r="18">
      <c r="A18" s="2" t="n">
        <v>17</v>
      </c>
      <c r="B18" s="2">
        <f>IF(C18="","",TEXT(C18,"aaa"))</f>
        <v/>
      </c>
      <c r="C18" s="4" t="n"/>
      <c r="D18" s="2" t="n"/>
      <c r="E18" s="2" t="n"/>
      <c r="F18" s="3" t="n"/>
      <c r="G18" s="3" t="n"/>
      <c r="H18" s="3">
        <f>表12[[#This Row],[支出]]-表12[[#This Row],[提前扣款]]</f>
        <v/>
      </c>
      <c r="I18" s="3">
        <f>表12[[#This Row],[實際應付]]</f>
        <v/>
      </c>
      <c r="J18" s="3" t="n"/>
      <c r="K18" s="3" t="n"/>
      <c r="L18" s="3">
        <f>L17+表12[[#This Row],[未入餘額]]-表12[[#This Row],[應付餘額]]</f>
        <v/>
      </c>
      <c r="M18" s="2" t="n"/>
    </row>
    <row r="19">
      <c r="A19" s="2" t="n">
        <v>18</v>
      </c>
      <c r="B19" s="2">
        <f>IF(C19="","",TEXT(C19,"aaa"))</f>
        <v/>
      </c>
      <c r="C19" s="4" t="n"/>
      <c r="D19" s="2" t="n"/>
      <c r="E19" s="2" t="n"/>
      <c r="F19" s="3" t="n"/>
      <c r="G19" s="3" t="n"/>
      <c r="H19" s="3">
        <f>表12[[#This Row],[支出]]-表12[[#This Row],[提前扣款]]</f>
        <v/>
      </c>
      <c r="I19" s="3">
        <f>表12[[#This Row],[實際應付]]</f>
        <v/>
      </c>
      <c r="J19" s="3" t="n"/>
      <c r="K19" s="3" t="n"/>
      <c r="L19" s="3">
        <f>L18+表12[[#This Row],[未入餘額]]-表12[[#This Row],[應付餘額]]</f>
        <v/>
      </c>
      <c r="M19" s="2" t="n"/>
    </row>
    <row r="20">
      <c r="A20" s="2" t="n">
        <v>19</v>
      </c>
      <c r="B20" s="2">
        <f>IF(C20="","",TEXT(C20,"aaa"))</f>
        <v/>
      </c>
      <c r="C20" s="4" t="n"/>
      <c r="D20" s="2" t="n"/>
      <c r="E20" s="2" t="n"/>
      <c r="F20" s="3" t="n"/>
      <c r="G20" s="3" t="n"/>
      <c r="H20" s="3">
        <f>表12[[#This Row],[支出]]-表12[[#This Row],[提前扣款]]</f>
        <v/>
      </c>
      <c r="I20" s="3">
        <f>表12[[#This Row],[實際應付]]</f>
        <v/>
      </c>
      <c r="J20" s="3" t="n"/>
      <c r="K20" s="3" t="n"/>
      <c r="L20" s="3">
        <f>L19+表12[[#This Row],[未入餘額]]-表12[[#This Row],[應付餘額]]</f>
        <v/>
      </c>
      <c r="M20" s="2" t="n"/>
    </row>
    <row r="21">
      <c r="A21" s="2" t="n">
        <v>20</v>
      </c>
      <c r="B21" s="2">
        <f>IF(C21="","",TEXT(C21,"aaa"))</f>
        <v/>
      </c>
      <c r="C21" s="4" t="n"/>
      <c r="D21" s="2" t="n"/>
      <c r="E21" s="2" t="n"/>
      <c r="F21" s="3" t="n"/>
      <c r="G21" s="3" t="n"/>
      <c r="H21" s="3">
        <f>表12[[#This Row],[支出]]-表12[[#This Row],[提前扣款]]</f>
        <v/>
      </c>
      <c r="I21" s="3">
        <f>表12[[#This Row],[實際應付]]</f>
        <v/>
      </c>
      <c r="J21" s="3" t="n"/>
      <c r="K21" s="3" t="n"/>
      <c r="L21" s="3">
        <f>L20+表12[[#This Row],[未入餘額]]-表12[[#This Row],[應付餘額]]</f>
        <v/>
      </c>
      <c r="M21" s="2" t="n"/>
    </row>
    <row r="22">
      <c r="A22" s="2" t="n">
        <v>21</v>
      </c>
      <c r="B22" s="2">
        <f>IF(C22="","",TEXT(C22,"aaa"))</f>
        <v/>
      </c>
      <c r="C22" s="4" t="n"/>
      <c r="D22" s="2" t="n"/>
      <c r="E22" s="2" t="n"/>
      <c r="F22" s="3" t="n"/>
      <c r="G22" s="3" t="n"/>
      <c r="H22" s="3">
        <f>表12[[#This Row],[支出]]-表12[[#This Row],[提前扣款]]</f>
        <v/>
      </c>
      <c r="I22" s="3">
        <f>表12[[#This Row],[實際應付]]</f>
        <v/>
      </c>
      <c r="J22" s="3" t="n"/>
      <c r="K22" s="3" t="n"/>
      <c r="L22" s="3">
        <f>L21+表12[[#This Row],[未入餘額]]-表12[[#This Row],[應付餘額]]</f>
        <v/>
      </c>
      <c r="M22" s="2" t="n"/>
    </row>
    <row r="23">
      <c r="A23" s="2" t="n">
        <v>22</v>
      </c>
      <c r="B23" s="2">
        <f>IF(C23="","",TEXT(C23,"aaa"))</f>
        <v/>
      </c>
      <c r="C23" s="4" t="n"/>
      <c r="D23" s="2" t="n"/>
      <c r="E23" s="2" t="n"/>
      <c r="F23" s="3" t="n"/>
      <c r="G23" s="3" t="n"/>
      <c r="H23" s="3">
        <f>表12[[#This Row],[支出]]-表12[[#This Row],[提前扣款]]</f>
        <v/>
      </c>
      <c r="I23" s="3">
        <f>表12[[#This Row],[實際應付]]</f>
        <v/>
      </c>
      <c r="J23" s="3" t="n"/>
      <c r="K23" s="3" t="n"/>
      <c r="L23" s="3">
        <f>L22+表12[[#This Row],[未入餘額]]-表12[[#This Row],[應付餘額]]</f>
        <v/>
      </c>
      <c r="M23" s="2" t="n"/>
    </row>
    <row r="24">
      <c r="A24" s="2" t="n">
        <v>23</v>
      </c>
      <c r="B24" s="2">
        <f>IF(C24="","",TEXT(C24,"aaa"))</f>
        <v/>
      </c>
      <c r="C24" s="4" t="n"/>
      <c r="D24" s="2" t="n"/>
      <c r="E24" s="2" t="n"/>
      <c r="F24" s="3" t="n"/>
      <c r="G24" s="3" t="n"/>
      <c r="H24" s="3">
        <f>表12[[#This Row],[支出]]-表12[[#This Row],[提前扣款]]</f>
        <v/>
      </c>
      <c r="I24" s="3">
        <f>表12[[#This Row],[實際應付]]</f>
        <v/>
      </c>
      <c r="J24" s="3" t="n"/>
      <c r="K24" s="3" t="n"/>
      <c r="L24" s="3">
        <f>L23+表12[[#This Row],[未入餘額]]-表12[[#This Row],[應付餘額]]</f>
        <v/>
      </c>
      <c r="M24" s="2" t="n"/>
    </row>
    <row r="25">
      <c r="A25" s="2" t="n">
        <v>24</v>
      </c>
      <c r="B25" s="2">
        <f>IF(C25="","",TEXT(C25,"aaa"))</f>
        <v/>
      </c>
      <c r="C25" s="4" t="n"/>
      <c r="D25" s="2" t="n"/>
      <c r="E25" s="2" t="n"/>
      <c r="F25" s="3" t="n"/>
      <c r="G25" s="3" t="n"/>
      <c r="H25" s="3">
        <f>表12[[#This Row],[支出]]-表12[[#This Row],[提前扣款]]</f>
        <v/>
      </c>
      <c r="I25" s="3">
        <f>表12[[#This Row],[實際應付]]</f>
        <v/>
      </c>
      <c r="J25" s="3" t="n"/>
      <c r="K25" s="3" t="n"/>
      <c r="L25" s="3">
        <f>L24+表12[[#This Row],[未入餘額]]-表12[[#This Row],[應付餘額]]</f>
        <v/>
      </c>
      <c r="M25" s="2" t="n"/>
    </row>
    <row r="26">
      <c r="A26" s="2" t="n">
        <v>25</v>
      </c>
      <c r="B26" s="2">
        <f>IF(C26="","",TEXT(C26,"aaa"))</f>
        <v/>
      </c>
      <c r="C26" s="4" t="n"/>
      <c r="D26" s="2" t="n"/>
      <c r="E26" s="2" t="n"/>
      <c r="F26" s="3" t="n"/>
      <c r="G26" s="3" t="n"/>
      <c r="H26" s="3">
        <f>表12[[#This Row],[支出]]-表12[[#This Row],[提前扣款]]</f>
        <v/>
      </c>
      <c r="I26" s="3">
        <f>表12[[#This Row],[實際應付]]</f>
        <v/>
      </c>
      <c r="J26" s="3" t="n"/>
      <c r="K26" s="3" t="n"/>
      <c r="L26" s="3">
        <f>L25+表12[[#This Row],[未入餘額]]-表12[[#This Row],[應付餘額]]</f>
        <v/>
      </c>
      <c r="M26" s="2" t="n"/>
    </row>
    <row r="27">
      <c r="A27" s="2" t="n">
        <v>26</v>
      </c>
      <c r="B27" s="2">
        <f>IF(C27="","",TEXT(C27,"aaa"))</f>
        <v/>
      </c>
      <c r="C27" s="4" t="n"/>
      <c r="D27" s="2" t="n"/>
      <c r="E27" s="2" t="n"/>
      <c r="F27" s="3" t="n"/>
      <c r="G27" s="3" t="n"/>
      <c r="H27" s="3">
        <f>表12[[#This Row],[支出]]-表12[[#This Row],[提前扣款]]</f>
        <v/>
      </c>
      <c r="I27" s="3">
        <f>表12[[#This Row],[實際應付]]</f>
        <v/>
      </c>
      <c r="J27" s="3" t="n"/>
      <c r="K27" s="3" t="n"/>
      <c r="L27" s="3">
        <f>L26+表12[[#This Row],[未入餘額]]-表12[[#This Row],[應付餘額]]</f>
        <v/>
      </c>
      <c r="M27" s="2" t="n"/>
    </row>
    <row r="28">
      <c r="A28" s="2" t="n">
        <v>27</v>
      </c>
      <c r="B28" s="2">
        <f>IF(C28="","",TEXT(C28,"aaa"))</f>
        <v/>
      </c>
      <c r="C28" s="4" t="n"/>
      <c r="D28" s="2" t="n"/>
      <c r="E28" s="2" t="n"/>
      <c r="F28" s="3" t="n"/>
      <c r="G28" s="3" t="n"/>
      <c r="H28" s="3">
        <f>表12[[#This Row],[支出]]-表12[[#This Row],[提前扣款]]</f>
        <v/>
      </c>
      <c r="I28" s="3">
        <f>表12[[#This Row],[實際應付]]</f>
        <v/>
      </c>
      <c r="J28" s="3" t="n"/>
      <c r="K28" s="3" t="n"/>
      <c r="L28" s="3">
        <f>L27+表12[[#This Row],[未入餘額]]-表12[[#This Row],[應付餘額]]</f>
        <v/>
      </c>
      <c r="M28" s="2" t="n"/>
    </row>
    <row r="29">
      <c r="A29" s="2" t="n">
        <v>28</v>
      </c>
      <c r="B29" s="2">
        <f>IF(C29="","",TEXT(C29,"aaa"))</f>
        <v/>
      </c>
      <c r="C29" s="4" t="n"/>
      <c r="D29" s="2" t="n"/>
      <c r="E29" s="2" t="n"/>
      <c r="F29" s="3" t="n"/>
      <c r="G29" s="3" t="n"/>
      <c r="H29" s="3">
        <f>表12[[#This Row],[支出]]-表12[[#This Row],[提前扣款]]</f>
        <v/>
      </c>
      <c r="I29" s="3">
        <f>表12[[#This Row],[實際應付]]</f>
        <v/>
      </c>
      <c r="J29" s="3" t="n"/>
      <c r="K29" s="3" t="n"/>
      <c r="L29" s="3">
        <f>L28+表12[[#This Row],[未入餘額]]-表12[[#This Row],[應付餘額]]</f>
        <v/>
      </c>
      <c r="M29" s="2" t="n"/>
    </row>
    <row r="30">
      <c r="A30" s="2" t="n">
        <v>29</v>
      </c>
      <c r="B30" s="2">
        <f>IF(C30="","",TEXT(C30,"aaa"))</f>
        <v/>
      </c>
      <c r="C30" s="4" t="n"/>
      <c r="D30" s="2" t="n"/>
      <c r="E30" s="2" t="n"/>
      <c r="F30" s="3" t="n"/>
      <c r="G30" s="3" t="n"/>
      <c r="H30" s="3">
        <f>表12[[#This Row],[支出]]-表12[[#This Row],[提前扣款]]</f>
        <v/>
      </c>
      <c r="I30" s="3">
        <f>表12[[#This Row],[實際應付]]</f>
        <v/>
      </c>
      <c r="J30" s="3" t="n"/>
      <c r="K30" s="3" t="n"/>
      <c r="L30" s="3">
        <f>L29+表12[[#This Row],[未入餘額]]-表12[[#This Row],[應付餘額]]</f>
        <v/>
      </c>
      <c r="M30" s="2" t="n"/>
    </row>
    <row r="31">
      <c r="A31" s="2" t="n">
        <v>30</v>
      </c>
      <c r="B31" s="2">
        <f>IF(C31="","",TEXT(C31,"aaa"))</f>
        <v/>
      </c>
      <c r="C31" s="4" t="n"/>
      <c r="D31" s="2" t="n"/>
      <c r="E31" s="2" t="n"/>
      <c r="F31" s="3" t="n"/>
      <c r="G31" s="3" t="n"/>
      <c r="H31" s="3">
        <f>表12[[#This Row],[支出]]-表12[[#This Row],[提前扣款]]</f>
        <v/>
      </c>
      <c r="I31" s="3">
        <f>表12[[#This Row],[實際應付]]</f>
        <v/>
      </c>
      <c r="J31" s="3" t="n"/>
      <c r="K31" s="3" t="n"/>
      <c r="L31" s="3">
        <f>L30+表12[[#This Row],[未入餘額]]-表12[[#This Row],[應付餘額]]</f>
        <v/>
      </c>
      <c r="M31" s="2" t="n"/>
    </row>
    <row r="32">
      <c r="A32" s="2" t="n">
        <v>31</v>
      </c>
      <c r="B32" s="2">
        <f>IF(C32="","",TEXT(C32,"aaa"))</f>
        <v/>
      </c>
      <c r="C32" s="4" t="n"/>
      <c r="D32" s="2" t="n"/>
      <c r="E32" s="2" t="n"/>
      <c r="F32" s="3" t="n"/>
      <c r="G32" s="3" t="n"/>
      <c r="H32" s="3">
        <f>表12[[#This Row],[支出]]-表12[[#This Row],[提前扣款]]</f>
        <v/>
      </c>
      <c r="I32" s="3">
        <f>表12[[#This Row],[實際應付]]</f>
        <v/>
      </c>
      <c r="J32" s="3" t="n"/>
      <c r="K32" s="3" t="n"/>
      <c r="L32" s="3">
        <f>L31+表12[[#This Row],[未入餘額]]-表12[[#This Row],[應付餘額]]</f>
        <v/>
      </c>
      <c r="M32" s="2" t="n"/>
    </row>
    <row r="33">
      <c r="A33" s="2" t="n">
        <v>32</v>
      </c>
      <c r="B33" s="2">
        <f>IF(C33="","",TEXT(C33,"aaa"))</f>
        <v/>
      </c>
      <c r="C33" s="4" t="n"/>
      <c r="D33" s="2" t="n"/>
      <c r="E33" s="2" t="n"/>
      <c r="F33" s="3" t="n"/>
      <c r="G33" s="3" t="n"/>
      <c r="H33" s="3">
        <f>表12[[#This Row],[支出]]-表12[[#This Row],[提前扣款]]</f>
        <v/>
      </c>
      <c r="I33" s="3">
        <f>表12[[#This Row],[實際應付]]</f>
        <v/>
      </c>
      <c r="J33" s="3" t="n"/>
      <c r="K33" s="3" t="n"/>
      <c r="L33" s="3">
        <f>L32+表12[[#This Row],[未入餘額]]-表12[[#This Row],[應付餘額]]</f>
        <v/>
      </c>
      <c r="M33" s="2" t="n"/>
    </row>
    <row r="34">
      <c r="A34" s="2" t="n">
        <v>33</v>
      </c>
      <c r="B34" s="2">
        <f>IF(C34="","",TEXT(C34,"aaa"))</f>
        <v/>
      </c>
      <c r="C34" s="4" t="n"/>
      <c r="D34" s="2" t="n"/>
      <c r="E34" s="2" t="n"/>
      <c r="F34" s="3" t="n"/>
      <c r="G34" s="3" t="n"/>
      <c r="H34" s="3">
        <f>表12[[#This Row],[支出]]-表12[[#This Row],[提前扣款]]</f>
        <v/>
      </c>
      <c r="I34" s="3">
        <f>表12[[#This Row],[實際應付]]</f>
        <v/>
      </c>
      <c r="J34" s="3" t="n"/>
      <c r="K34" s="3" t="n"/>
      <c r="L34" s="3">
        <f>L33+表12[[#This Row],[未入餘額]]-表12[[#This Row],[應付餘額]]</f>
        <v/>
      </c>
      <c r="M34" s="2" t="n"/>
    </row>
    <row r="35">
      <c r="A35" s="2" t="n">
        <v>34</v>
      </c>
      <c r="B35" s="2">
        <f>IF(C35="","",TEXT(C35,"aaa"))</f>
        <v/>
      </c>
      <c r="C35" s="4" t="n"/>
      <c r="D35" s="2" t="n"/>
      <c r="E35" s="2" t="n"/>
      <c r="F35" s="3" t="n"/>
      <c r="G35" s="3" t="n"/>
      <c r="H35" s="3">
        <f>表12[[#This Row],[支出]]-表12[[#This Row],[提前扣款]]</f>
        <v/>
      </c>
      <c r="I35" s="3">
        <f>表12[[#This Row],[實際應付]]</f>
        <v/>
      </c>
      <c r="J35" s="3" t="n"/>
      <c r="K35" s="3" t="n"/>
      <c r="L35" s="3">
        <f>L34+表12[[#This Row],[未入餘額]]-表12[[#This Row],[應付餘額]]</f>
        <v/>
      </c>
      <c r="M35" s="2" t="n"/>
    </row>
    <row r="36">
      <c r="A36" s="2" t="n">
        <v>35</v>
      </c>
      <c r="B36" s="2">
        <f>IF(C36="","",TEXT(C36,"aaa"))</f>
        <v/>
      </c>
      <c r="C36" s="4" t="n"/>
      <c r="D36" s="2" t="n"/>
      <c r="E36" s="2" t="n"/>
      <c r="F36" s="3" t="n"/>
      <c r="G36" s="3" t="n"/>
      <c r="H36" s="3">
        <f>表12[[#This Row],[支出]]-表12[[#This Row],[提前扣款]]</f>
        <v/>
      </c>
      <c r="I36" s="3">
        <f>表12[[#This Row],[實際應付]]</f>
        <v/>
      </c>
      <c r="J36" s="3" t="n"/>
      <c r="K36" s="3" t="n"/>
      <c r="L36" s="3">
        <f>L35+表12[[#This Row],[未入餘額]]-表12[[#This Row],[應付餘額]]</f>
        <v/>
      </c>
      <c r="M36" s="2" t="n"/>
    </row>
    <row r="37">
      <c r="A37" s="2" t="n">
        <v>36</v>
      </c>
      <c r="B37" s="2">
        <f>IF(C37="","",TEXT(C37,"aaa"))</f>
        <v/>
      </c>
      <c r="C37" s="4" t="n"/>
      <c r="D37" s="2" t="n"/>
      <c r="E37" s="2" t="n"/>
      <c r="F37" s="3" t="n"/>
      <c r="G37" s="3" t="n"/>
      <c r="H37" s="3">
        <f>表12[[#This Row],[支出]]-表12[[#This Row],[提前扣款]]</f>
        <v/>
      </c>
      <c r="I37" s="3">
        <f>表12[[#This Row],[實際應付]]</f>
        <v/>
      </c>
      <c r="J37" s="3" t="n"/>
      <c r="K37" s="3" t="n"/>
      <c r="L37" s="3">
        <f>L36+表12[[#This Row],[未入餘額]]-表12[[#This Row],[應付餘額]]</f>
        <v/>
      </c>
      <c r="M37" s="2" t="n"/>
    </row>
    <row r="38">
      <c r="A38" s="2" t="n">
        <v>37</v>
      </c>
      <c r="B38" s="2">
        <f>IF(C38="","",TEXT(C38,"aaa"))</f>
        <v/>
      </c>
      <c r="C38" s="4" t="n"/>
      <c r="D38" s="2" t="n"/>
      <c r="E38" s="2" t="n"/>
      <c r="F38" s="3" t="n"/>
      <c r="G38" s="3" t="n"/>
      <c r="H38" s="3">
        <f>表12[[#This Row],[支出]]-表12[[#This Row],[提前扣款]]</f>
        <v/>
      </c>
      <c r="I38" s="3">
        <f>表12[[#This Row],[實際應付]]</f>
        <v/>
      </c>
      <c r="J38" s="3" t="n"/>
      <c r="K38" s="3" t="n"/>
      <c r="L38" s="3">
        <f>L37+表12[[#This Row],[未入餘額]]-表12[[#This Row],[應付餘額]]</f>
        <v/>
      </c>
      <c r="M38" s="2" t="n"/>
    </row>
    <row r="39">
      <c r="A39" s="2" t="n">
        <v>38</v>
      </c>
      <c r="B39" s="2">
        <f>IF(C39="","",TEXT(C39,"aaa"))</f>
        <v/>
      </c>
      <c r="C39" s="4" t="n"/>
      <c r="D39" s="2" t="n"/>
      <c r="E39" s="2" t="n"/>
      <c r="F39" s="3" t="n"/>
      <c r="G39" s="3" t="n"/>
      <c r="H39" s="3">
        <f>表12[[#This Row],[支出]]-表12[[#This Row],[提前扣款]]</f>
        <v/>
      </c>
      <c r="I39" s="3">
        <f>表12[[#This Row],[實際應付]]</f>
        <v/>
      </c>
      <c r="J39" s="3" t="n"/>
      <c r="K39" s="3" t="n"/>
      <c r="L39" s="3">
        <f>L38+表12[[#This Row],[未入餘額]]-表12[[#This Row],[應付餘額]]</f>
        <v/>
      </c>
      <c r="M39" s="2" t="n"/>
    </row>
    <row r="40">
      <c r="A40" s="2" t="n">
        <v>39</v>
      </c>
      <c r="B40" s="2">
        <f>IF(C40="","",TEXT(C40,"aaa"))</f>
        <v/>
      </c>
      <c r="C40" s="4" t="n"/>
      <c r="D40" s="2" t="n"/>
      <c r="E40" s="2" t="n"/>
      <c r="F40" s="3" t="n"/>
      <c r="G40" s="3" t="n"/>
      <c r="H40" s="3">
        <f>表12[[#This Row],[支出]]-表12[[#This Row],[提前扣款]]</f>
        <v/>
      </c>
      <c r="I40" s="3">
        <f>表12[[#This Row],[實際應付]]</f>
        <v/>
      </c>
      <c r="J40" s="3" t="n"/>
      <c r="K40" s="3" t="n"/>
      <c r="L40" s="3">
        <f>L39+表12[[#This Row],[未入餘額]]-表12[[#This Row],[應付餘額]]</f>
        <v/>
      </c>
      <c r="M40" s="2" t="n"/>
    </row>
    <row r="41">
      <c r="A41" s="2" t="n">
        <v>40</v>
      </c>
      <c r="B41" s="2">
        <f>IF(C41="","",TEXT(C41,"aaa"))</f>
        <v/>
      </c>
      <c r="C41" s="4" t="n"/>
      <c r="D41" s="2" t="n"/>
      <c r="E41" s="2" t="n"/>
      <c r="F41" s="3" t="n"/>
      <c r="G41" s="3" t="n"/>
      <c r="H41" s="3">
        <f>表12[[#This Row],[支出]]-表12[[#This Row],[提前扣款]]</f>
        <v/>
      </c>
      <c r="I41" s="3">
        <f>表12[[#This Row],[實際應付]]</f>
        <v/>
      </c>
      <c r="J41" s="3" t="n"/>
      <c r="K41" s="3" t="n"/>
      <c r="L41" s="3">
        <f>L40+表12[[#This Row],[未入餘額]]-表12[[#This Row],[應付餘額]]</f>
        <v/>
      </c>
      <c r="M41" s="2" t="n"/>
    </row>
    <row r="42">
      <c r="A42" s="2" t="n">
        <v>41</v>
      </c>
      <c r="B42" s="2">
        <f>IF(C42="","",TEXT(C42,"aaa"))</f>
        <v/>
      </c>
      <c r="C42" s="4" t="n"/>
      <c r="D42" s="2" t="n"/>
      <c r="E42" s="2" t="n"/>
      <c r="F42" s="3" t="n"/>
      <c r="G42" s="3" t="n"/>
      <c r="H42" s="3">
        <f>表12[[#This Row],[支出]]-表12[[#This Row],[提前扣款]]</f>
        <v/>
      </c>
      <c r="I42" s="3">
        <f>表12[[#This Row],[實際應付]]</f>
        <v/>
      </c>
      <c r="J42" s="3" t="n"/>
      <c r="K42" s="3" t="n"/>
      <c r="L42" s="3">
        <f>L41+表12[[#This Row],[未入餘額]]-表12[[#This Row],[應付餘額]]</f>
        <v/>
      </c>
      <c r="M42" s="2" t="n"/>
    </row>
    <row r="43">
      <c r="A43" s="2" t="n">
        <v>42</v>
      </c>
      <c r="B43" s="2">
        <f>IF(C43="","",TEXT(C43,"aaa"))</f>
        <v/>
      </c>
      <c r="C43" s="4" t="n"/>
      <c r="D43" s="2" t="n"/>
      <c r="E43" s="2" t="n"/>
      <c r="F43" s="3" t="n"/>
      <c r="G43" s="3" t="n"/>
      <c r="H43" s="3">
        <f>表12[[#This Row],[支出]]-表12[[#This Row],[提前扣款]]</f>
        <v/>
      </c>
      <c r="I43" s="3">
        <f>表12[[#This Row],[實際應付]]</f>
        <v/>
      </c>
      <c r="J43" s="3" t="n"/>
      <c r="K43" s="3" t="n"/>
      <c r="L43" s="3">
        <f>L42+表12[[#This Row],[未入餘額]]-表12[[#This Row],[應付餘額]]</f>
        <v/>
      </c>
      <c r="M43" s="2" t="n"/>
    </row>
    <row r="44">
      <c r="A44" s="2" t="n">
        <v>43</v>
      </c>
      <c r="B44" s="2">
        <f>IF(C44="","",TEXT(C44,"aaa"))</f>
        <v/>
      </c>
      <c r="C44" s="4" t="n"/>
      <c r="D44" s="2" t="n"/>
      <c r="E44" s="2" t="n"/>
      <c r="F44" s="3" t="n"/>
      <c r="G44" s="3" t="n"/>
      <c r="H44" s="3">
        <f>表12[[#This Row],[支出]]-表12[[#This Row],[提前扣款]]</f>
        <v/>
      </c>
      <c r="I44" s="3">
        <f>表12[[#This Row],[實際應付]]</f>
        <v/>
      </c>
      <c r="J44" s="3" t="n"/>
      <c r="K44" s="3" t="n"/>
      <c r="L44" s="3">
        <f>L43+表12[[#This Row],[未入餘額]]-表12[[#This Row],[應付餘額]]</f>
        <v/>
      </c>
      <c r="M44" s="2" t="n"/>
    </row>
    <row r="45">
      <c r="A45" s="2" t="n">
        <v>44</v>
      </c>
      <c r="B45" s="2">
        <f>IF(C45="","",TEXT(C45,"aaa"))</f>
        <v/>
      </c>
      <c r="C45" s="4" t="n"/>
      <c r="D45" s="2" t="n"/>
      <c r="E45" s="2" t="n"/>
      <c r="F45" s="3" t="n"/>
      <c r="G45" s="3" t="n"/>
      <c r="H45" s="3">
        <f>表12[[#This Row],[支出]]-表12[[#This Row],[提前扣款]]</f>
        <v/>
      </c>
      <c r="I45" s="3">
        <f>表12[[#This Row],[實際應付]]</f>
        <v/>
      </c>
      <c r="J45" s="3" t="n"/>
      <c r="K45" s="3" t="n"/>
      <c r="L45" s="3">
        <f>L44+表12[[#This Row],[未入餘額]]-表12[[#This Row],[應付餘額]]</f>
        <v/>
      </c>
      <c r="M45" s="2" t="n"/>
    </row>
    <row r="46">
      <c r="A46" s="2" t="n">
        <v>45</v>
      </c>
      <c r="B46" s="2">
        <f>IF(C46="","",TEXT(C46,"aaa"))</f>
        <v/>
      </c>
      <c r="C46" s="4" t="n"/>
      <c r="D46" s="2" t="n"/>
      <c r="E46" s="2" t="n"/>
      <c r="F46" s="3" t="n"/>
      <c r="G46" s="3" t="n"/>
      <c r="H46" s="3">
        <f>表12[[#This Row],[支出]]-表12[[#This Row],[提前扣款]]</f>
        <v/>
      </c>
      <c r="I46" s="3">
        <f>表12[[#This Row],[實際應付]]</f>
        <v/>
      </c>
      <c r="J46" s="3" t="n"/>
      <c r="K46" s="3" t="n"/>
      <c r="L46" s="3">
        <f>L45+表12[[#This Row],[未入餘額]]-表12[[#This Row],[應付餘額]]</f>
        <v/>
      </c>
      <c r="M46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2026-09-10T00:01:51Z</dcterms:created>
  <dcterms:modified xsi:type="dcterms:W3CDTF">2026-09-10T00:01:51Z</dcterms:modified>
</cp:coreProperties>
</file>