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b3348a29a37a408/文件/Claude/Projects/支票辨識_ERP匯入/"/>
    </mc:Choice>
  </mc:AlternateContent>
  <xr:revisionPtr revIDLastSave="12" documentId="11_9D93AF93944688FFE52B9816502D1E7D39FEB107" xr6:coauthVersionLast="47" xr6:coauthVersionMax="47" xr10:uidLastSave="{E36CB199-5911-4D71-897F-602DC694334B}"/>
  <bookViews>
    <workbookView xWindow="-80" yWindow="0" windowWidth="12960" windowHeight="15360" xr2:uid="{00000000-000D-0000-FFFF-FFFF00000000}"/>
  </bookViews>
  <sheets>
    <sheet name="支票辨識紀錄" sheetId="1" r:id="rId1"/>
  </sheets>
  <definedNames>
    <definedName name="_xlnm._FilterDatabase" localSheetId="0" hidden="1">支票辨識紀錄!$A$1:$T$17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7" i="1"/>
  <c r="E7" i="1"/>
  <c r="I11" i="1"/>
  <c r="E11" i="1"/>
  <c r="I4" i="1"/>
  <c r="E4" i="1"/>
  <c r="I6" i="1"/>
  <c r="E6" i="1"/>
  <c r="I3" i="1"/>
  <c r="E3" i="1"/>
  <c r="I2" i="1"/>
  <c r="E2" i="1"/>
  <c r="I10" i="1"/>
  <c r="E10" i="1"/>
  <c r="I9" i="1"/>
  <c r="E9" i="1"/>
  <c r="E5" i="1"/>
  <c r="I8" i="1"/>
  <c r="E8" i="1"/>
</calcChain>
</file>

<file path=xl/sharedStrings.xml><?xml version="1.0" encoding="utf-8"?>
<sst xmlns="http://schemas.openxmlformats.org/spreadsheetml/2006/main" count="104" uniqueCount="71">
  <si>
    <t>收票日</t>
  </si>
  <si>
    <t>支票號碼</t>
  </si>
  <si>
    <t>到期日</t>
  </si>
  <si>
    <t>發票人</t>
  </si>
  <si>
    <t>客戶</t>
  </si>
  <si>
    <t>實收金額</t>
  </si>
  <si>
    <t>銀行</t>
  </si>
  <si>
    <t>分行</t>
  </si>
  <si>
    <t>銀行+分行</t>
  </si>
  <si>
    <t>支存帳號</t>
  </si>
  <si>
    <t>付款行</t>
  </si>
  <si>
    <t>付款行代號</t>
  </si>
  <si>
    <t>送票日</t>
  </si>
  <si>
    <t>送票銀行</t>
  </si>
  <si>
    <t>送票號碼</t>
  </si>
  <si>
    <t>備註</t>
  </si>
  <si>
    <t>用途</t>
  </si>
  <si>
    <t>OCR信心值</t>
  </si>
  <si>
    <t>需人工覆核</t>
  </si>
  <si>
    <t>覆核原因</t>
  </si>
  <si>
    <t>AC1404968</t>
  </si>
  <si>
    <t>伸豐金屬壓延有限公司</t>
  </si>
  <si>
    <t>華泰商業銀行</t>
  </si>
  <si>
    <t>台南</t>
  </si>
  <si>
    <t>00136-9</t>
  </si>
  <si>
    <t>04-102-0348</t>
  </si>
  <si>
    <t>交換</t>
  </si>
  <si>
    <t>FALSE</t>
  </si>
  <si>
    <t>AC1404967</t>
  </si>
  <si>
    <t>GA4021503</t>
  </si>
  <si>
    <t>煌順金屬企業有限公司</t>
  </si>
  <si>
    <t>三信商業銀行</t>
  </si>
  <si>
    <t>大智</t>
  </si>
  <si>
    <t>5124-6</t>
  </si>
  <si>
    <t>03-147-0077</t>
  </si>
  <si>
    <t>GA4021502</t>
  </si>
  <si>
    <t>ZJ8142064</t>
  </si>
  <si>
    <t>冠德熱處理有限公司</t>
  </si>
  <si>
    <t>臺灣中小企業銀行</t>
  </si>
  <si>
    <t>化成</t>
  </si>
  <si>
    <t>01025558</t>
  </si>
  <si>
    <t>01-050-0278</t>
  </si>
  <si>
    <t>AM3313246</t>
  </si>
  <si>
    <t>煒承精密工業股份有限公司</t>
  </si>
  <si>
    <t>01010372</t>
  </si>
  <si>
    <t>金額經5月發票BJ18673514合計核對更正為289,629(原辨識281,123印章遮蓋)</t>
  </si>
  <si>
    <t>FA1025618</t>
  </si>
  <si>
    <t>興隆工業社</t>
  </si>
  <si>
    <t>彰化區漁會</t>
  </si>
  <si>
    <t>信用部</t>
  </si>
  <si>
    <t>03-511-0010</t>
  </si>
  <si>
    <t>金額經5月發票BJ18673522合計核對更正為36,322；付款行為彰化區漁會</t>
  </si>
  <si>
    <t>SSA8012754</t>
  </si>
  <si>
    <t>阡阡實業有限公司</t>
  </si>
  <si>
    <t>台中商業銀行</t>
  </si>
  <si>
    <t>秀水</t>
  </si>
  <si>
    <t>003269-8</t>
  </si>
  <si>
    <t>03-053-0422</t>
  </si>
  <si>
    <t>AM7929898</t>
  </si>
  <si>
    <t>昌平實業股份有限公司</t>
  </si>
  <si>
    <t>玉山銀行</t>
  </si>
  <si>
    <t>迴龍</t>
  </si>
  <si>
    <t>1012435001853</t>
  </si>
  <si>
    <t>01-808-1012</t>
  </si>
  <si>
    <t>禁背</t>
  </si>
  <si>
    <t>票面無阿拉伯數字，經5月發票BJ18673498合計1,351,098核對相符</t>
  </si>
  <si>
    <t>ZK1961096</t>
  </si>
  <si>
    <t>鑫滙金屬股份有限公司</t>
  </si>
  <si>
    <t>北鳳山</t>
  </si>
  <si>
    <t>01023151</t>
  </si>
  <si>
    <t>05-050-8403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</si>
</sst>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800404]e/m/d;@"/>
    <numFmt numFmtId="177" formatCode="[$-404]e/m/d;@"/>
  </numFmts>
  <fonts count="9">
    <font>
      <sz val="11"/>
      <color theme="1"/>
      <name val="新細明體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0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0"/>
      <color rgb="FFCC0000"/>
      <name val="Arial"/>
      <family val="2"/>
    </font>
    <font>
      <sz val="9"/>
      <name val="新細明體"/>
      <family val="3"/>
      <charset val="136"/>
      <scheme val="minor"/>
    </font>
    <font>
      <sz val="1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0" fillId="0" borderId="0" xfId="0" applyNumberFormat="1"/>
    <xf numFmtId="177" fontId="1" fillId="2" borderId="0" xfId="0" applyNumberFormat="1" applyFont="1" applyFill="1" applyAlignment="1">
      <alignment horizontal="center" vertical="center" wrapText="1"/>
    </xf>
    <xf numFmtId="177" fontId="0" fillId="0" borderId="0" xfId="0" applyNumberFormat="1" applyAlignment="1">
      <alignment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topLeftCell="B1" workbookViewId="0">
      <selection sqref="A1:A1048576"/>
    </sheetView>
  </sheetViews>
  <sheetFormatPr defaultRowHeight="15.7"/>
  <cols>
    <col min="1" max="1" width="14" style="3" hidden="1" customWidth="1"/>
    <col min="2" max="2" width="14" customWidth="1"/>
    <col min="3" max="3" width="12" style="5" customWidth="1"/>
    <col min="4" max="4" width="22" hidden="1" customWidth="1"/>
    <col min="5" max="5" width="28" customWidth="1"/>
    <col min="6" max="6" width="14" customWidth="1"/>
    <col min="7" max="7" width="20" hidden="1" customWidth="1"/>
    <col min="8" max="8" width="10" hidden="1" customWidth="1"/>
    <col min="9" max="9" width="14" customWidth="1"/>
    <col min="10" max="10" width="16" customWidth="1"/>
    <col min="11" max="11" width="20" hidden="1" customWidth="1"/>
    <col min="12" max="12" width="14" hidden="1" customWidth="1"/>
    <col min="13" max="13" width="14" customWidth="1"/>
    <col min="14" max="14" width="10" customWidth="1"/>
    <col min="15" max="15" width="18" customWidth="1"/>
    <col min="16" max="16" width="40" customWidth="1"/>
    <col min="17" max="17" width="8" customWidth="1"/>
    <col min="18" max="19" width="10" customWidth="1"/>
    <col min="20" max="20" width="40" customWidth="1"/>
  </cols>
  <sheetData>
    <row r="1" spans="1:20" ht="25.35" customHeight="1">
      <c r="A1" s="2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6"/>
      <c r="B2" s="7" t="s">
        <v>36</v>
      </c>
      <c r="C2" s="8">
        <v>46195</v>
      </c>
      <c r="D2" s="9" t="s">
        <v>37</v>
      </c>
      <c r="E2" s="10" t="str">
        <f t="shared" ref="E2:E11" si="0">D2</f>
        <v>冠德熱處理有限公司</v>
      </c>
      <c r="F2" s="11">
        <v>716042</v>
      </c>
      <c r="G2" s="7" t="s">
        <v>38</v>
      </c>
      <c r="H2" s="12" t="s">
        <v>39</v>
      </c>
      <c r="I2" s="13" t="str">
        <f t="shared" ref="I2:I11" si="1">LEFT(G2,2)&amp;H2</f>
        <v>臺灣化成</v>
      </c>
      <c r="J2" s="7" t="s">
        <v>40</v>
      </c>
      <c r="K2" s="7"/>
      <c r="L2" s="7" t="s">
        <v>41</v>
      </c>
      <c r="M2" s="7"/>
      <c r="N2" s="12"/>
      <c r="O2" s="7"/>
      <c r="P2" s="10"/>
      <c r="Q2" s="7" t="s">
        <v>26</v>
      </c>
      <c r="R2" s="7">
        <v>0.95</v>
      </c>
      <c r="S2" s="14" t="s">
        <v>27</v>
      </c>
      <c r="T2" s="10"/>
    </row>
    <row r="3" spans="1:20" ht="25.35">
      <c r="A3" s="6"/>
      <c r="B3" s="7" t="s">
        <v>42</v>
      </c>
      <c r="C3" s="8">
        <v>46203</v>
      </c>
      <c r="D3" s="9" t="s">
        <v>43</v>
      </c>
      <c r="E3" s="10" t="str">
        <f t="shared" si="0"/>
        <v>煒承精密工業股份有限公司</v>
      </c>
      <c r="F3" s="11">
        <v>289629</v>
      </c>
      <c r="G3" s="7" t="s">
        <v>38</v>
      </c>
      <c r="H3" s="12" t="s">
        <v>39</v>
      </c>
      <c r="I3" s="13" t="str">
        <f t="shared" si="1"/>
        <v>臺灣化成</v>
      </c>
      <c r="J3" s="7" t="s">
        <v>44</v>
      </c>
      <c r="K3" s="7"/>
      <c r="L3" s="7" t="s">
        <v>41</v>
      </c>
      <c r="M3" s="7"/>
      <c r="N3" s="12"/>
      <c r="O3" s="7"/>
      <c r="P3" s="10"/>
      <c r="Q3" s="7" t="s">
        <v>26</v>
      </c>
      <c r="R3" s="7">
        <v>0.95</v>
      </c>
      <c r="S3" s="14" t="s">
        <v>27</v>
      </c>
      <c r="T3" s="10" t="s">
        <v>45</v>
      </c>
    </row>
    <row r="4" spans="1:20">
      <c r="A4" s="6"/>
      <c r="B4" s="7" t="s">
        <v>52</v>
      </c>
      <c r="C4" s="8">
        <v>46203</v>
      </c>
      <c r="D4" s="9" t="s">
        <v>53</v>
      </c>
      <c r="E4" s="10" t="str">
        <f t="shared" si="0"/>
        <v>阡阡實業有限公司</v>
      </c>
      <c r="F4" s="11">
        <v>72015</v>
      </c>
      <c r="G4" s="7" t="s">
        <v>54</v>
      </c>
      <c r="H4" s="12" t="s">
        <v>55</v>
      </c>
      <c r="I4" s="13" t="str">
        <f t="shared" si="1"/>
        <v>台中秀水</v>
      </c>
      <c r="J4" s="7" t="s">
        <v>56</v>
      </c>
      <c r="K4" s="7"/>
      <c r="L4" s="7" t="s">
        <v>57</v>
      </c>
      <c r="M4" s="7"/>
      <c r="N4" s="12"/>
      <c r="O4" s="7"/>
      <c r="P4" s="10"/>
      <c r="Q4" s="7" t="s">
        <v>26</v>
      </c>
      <c r="R4" s="7">
        <v>0.91</v>
      </c>
      <c r="S4" s="14" t="s">
        <v>27</v>
      </c>
      <c r="T4" s="10"/>
    </row>
    <row r="5" spans="1:20">
      <c r="A5" s="6"/>
      <c r="B5" s="7" t="s">
        <v>28</v>
      </c>
      <c r="C5" s="8">
        <v>46213</v>
      </c>
      <c r="D5" s="9" t="s">
        <v>21</v>
      </c>
      <c r="E5" s="10" t="str">
        <f t="shared" si="0"/>
        <v>伸豐金屬壓延有限公司</v>
      </c>
      <c r="F5" s="11">
        <v>264558</v>
      </c>
      <c r="G5" s="7" t="s">
        <v>22</v>
      </c>
      <c r="H5" s="12" t="s">
        <v>23</v>
      </c>
      <c r="I5" s="13" t="str">
        <f t="shared" si="1"/>
        <v>華泰台南</v>
      </c>
      <c r="J5" s="7" t="s">
        <v>24</v>
      </c>
      <c r="K5" s="7"/>
      <c r="L5" s="7" t="s">
        <v>25</v>
      </c>
      <c r="M5" s="7"/>
      <c r="N5" s="12"/>
      <c r="O5" s="7"/>
      <c r="P5" s="10"/>
      <c r="Q5" s="7" t="s">
        <v>26</v>
      </c>
      <c r="R5" s="7">
        <v>0.94</v>
      </c>
      <c r="S5" s="14" t="s">
        <v>27</v>
      </c>
      <c r="T5" s="10"/>
    </row>
    <row r="6" spans="1:20">
      <c r="B6" s="7" t="s">
        <v>46</v>
      </c>
      <c r="C6" s="8">
        <v>46264</v>
      </c>
      <c r="D6" s="9" t="s">
        <v>47</v>
      </c>
      <c r="E6" s="9" t="str">
        <f t="shared" si="0"/>
        <v>興隆工業社</v>
      </c>
      <c r="F6" s="11">
        <v>36322</v>
      </c>
      <c r="G6" s="7" t="s">
        <v>48</v>
      </c>
      <c r="H6" s="12" t="s">
        <v>49</v>
      </c>
      <c r="I6" t="str">
        <f t="shared" si="1"/>
        <v>彰化信用部</v>
      </c>
      <c r="J6" s="7"/>
      <c r="L6" s="7" t="s">
        <v>50</v>
      </c>
      <c r="Q6" t="s">
        <v>26</v>
      </c>
      <c r="R6">
        <v>0.95</v>
      </c>
      <c r="S6" t="s">
        <v>27</v>
      </c>
      <c r="T6" t="s">
        <v>51</v>
      </c>
    </row>
    <row r="7" spans="1:20">
      <c r="B7" s="7" t="s">
        <v>66</v>
      </c>
      <c r="C7" s="8">
        <v>46271</v>
      </c>
      <c r="D7" s="9" t="s">
        <v>67</v>
      </c>
      <c r="E7" s="9" t="str">
        <f t="shared" si="0"/>
        <v>鑫滙金屬股份有限公司</v>
      </c>
      <c r="F7" s="11">
        <v>109998</v>
      </c>
      <c r="G7" s="7" t="s">
        <v>38</v>
      </c>
      <c r="H7" s="12" t="s">
        <v>68</v>
      </c>
      <c r="I7" t="str">
        <f t="shared" si="1"/>
        <v>臺灣北鳳山</v>
      </c>
      <c r="J7" s="7" t="s">
        <v>69</v>
      </c>
      <c r="L7" s="7" t="s">
        <v>70</v>
      </c>
      <c r="P7" t="s">
        <v>64</v>
      </c>
      <c r="Q7" t="s">
        <v>26</v>
      </c>
      <c r="R7">
        <v>0.93</v>
      </c>
      <c r="S7" t="s">
        <v>27</v>
      </c>
    </row>
    <row r="8" spans="1:20">
      <c r="A8" s="6"/>
      <c r="B8" s="7" t="s">
        <v>20</v>
      </c>
      <c r="C8" s="8">
        <v>46275</v>
      </c>
      <c r="D8" s="9" t="s">
        <v>21</v>
      </c>
      <c r="E8" s="10" t="str">
        <f t="shared" si="0"/>
        <v>伸豐金屬壓延有限公司</v>
      </c>
      <c r="F8" s="11">
        <v>91661</v>
      </c>
      <c r="G8" s="7" t="s">
        <v>22</v>
      </c>
      <c r="H8" s="12" t="s">
        <v>23</v>
      </c>
      <c r="I8" s="13" t="str">
        <f t="shared" si="1"/>
        <v>華泰台南</v>
      </c>
      <c r="J8" s="7" t="s">
        <v>24</v>
      </c>
      <c r="K8" s="7"/>
      <c r="L8" s="7" t="s">
        <v>25</v>
      </c>
      <c r="M8" s="7"/>
      <c r="N8" s="12"/>
      <c r="O8" s="7"/>
      <c r="P8" s="10"/>
      <c r="Q8" s="7" t="s">
        <v>26</v>
      </c>
      <c r="R8" s="7">
        <v>0.94</v>
      </c>
      <c r="S8" s="14" t="s">
        <v>27</v>
      </c>
      <c r="T8" s="10"/>
    </row>
    <row r="9" spans="1:20">
      <c r="A9" s="6"/>
      <c r="B9" s="7" t="s">
        <v>29</v>
      </c>
      <c r="C9" s="8">
        <v>46275</v>
      </c>
      <c r="D9" s="9" t="s">
        <v>30</v>
      </c>
      <c r="E9" s="10" t="str">
        <f t="shared" si="0"/>
        <v>煌順金屬企業有限公司</v>
      </c>
      <c r="F9" s="11">
        <v>135055</v>
      </c>
      <c r="G9" s="7" t="s">
        <v>31</v>
      </c>
      <c r="H9" s="12" t="s">
        <v>32</v>
      </c>
      <c r="I9" s="13" t="str">
        <f t="shared" si="1"/>
        <v>三信大智</v>
      </c>
      <c r="J9" s="7" t="s">
        <v>33</v>
      </c>
      <c r="K9" s="7"/>
      <c r="L9" s="7" t="s">
        <v>34</v>
      </c>
      <c r="M9" s="7"/>
      <c r="N9" s="12"/>
      <c r="O9" s="7"/>
      <c r="P9" s="10"/>
      <c r="Q9" s="7" t="s">
        <v>26</v>
      </c>
      <c r="R9" s="7">
        <v>0.9</v>
      </c>
      <c r="S9" s="14" t="s">
        <v>27</v>
      </c>
      <c r="T9" s="10"/>
    </row>
    <row r="10" spans="1:20">
      <c r="A10" s="6"/>
      <c r="B10" s="7" t="s">
        <v>35</v>
      </c>
      <c r="C10" s="8">
        <v>46275</v>
      </c>
      <c r="D10" s="9" t="s">
        <v>30</v>
      </c>
      <c r="E10" s="10" t="str">
        <f t="shared" si="0"/>
        <v>煌順金屬企業有限公司</v>
      </c>
      <c r="F10" s="11">
        <v>200000</v>
      </c>
      <c r="G10" s="7" t="s">
        <v>31</v>
      </c>
      <c r="H10" s="12" t="s">
        <v>32</v>
      </c>
      <c r="I10" s="13" t="str">
        <f t="shared" si="1"/>
        <v>三信大智</v>
      </c>
      <c r="J10" s="7" t="s">
        <v>33</v>
      </c>
      <c r="K10" s="7"/>
      <c r="L10" s="7" t="s">
        <v>34</v>
      </c>
      <c r="M10" s="7"/>
      <c r="N10" s="12"/>
      <c r="O10" s="7"/>
      <c r="P10" s="10"/>
      <c r="Q10" s="7" t="s">
        <v>26</v>
      </c>
      <c r="R10" s="7">
        <v>0.92</v>
      </c>
      <c r="S10" s="14" t="s">
        <v>27</v>
      </c>
      <c r="T10" s="10"/>
    </row>
    <row r="11" spans="1:20" ht="25.35">
      <c r="A11" s="6"/>
      <c r="B11" s="7" t="s">
        <v>58</v>
      </c>
      <c r="C11" s="8">
        <v>46275</v>
      </c>
      <c r="D11" s="9" t="s">
        <v>59</v>
      </c>
      <c r="E11" s="10" t="str">
        <f t="shared" si="0"/>
        <v>昌平實業股份有限公司</v>
      </c>
      <c r="F11" s="11">
        <v>1351098</v>
      </c>
      <c r="G11" s="7" t="s">
        <v>60</v>
      </c>
      <c r="H11" s="12" t="s">
        <v>61</v>
      </c>
      <c r="I11" s="13" t="str">
        <f t="shared" si="1"/>
        <v>玉山迴龍</v>
      </c>
      <c r="J11" s="7" t="s">
        <v>62</v>
      </c>
      <c r="K11" s="7"/>
      <c r="L11" s="7" t="s">
        <v>63</v>
      </c>
      <c r="M11" s="7"/>
      <c r="N11" s="12"/>
      <c r="O11" s="7"/>
      <c r="P11" s="10" t="s">
        <v>64</v>
      </c>
      <c r="Q11" s="7" t="s">
        <v>26</v>
      </c>
      <c r="R11" s="7">
        <v>0.9</v>
      </c>
      <c r="S11" s="14" t="s">
        <v>27</v>
      </c>
      <c r="T11" s="10" t="s">
        <v>65</v>
      </c>
    </row>
    <row r="12" spans="1:20">
      <c r="B12" s="7"/>
      <c r="C12" s="8"/>
      <c r="D12" s="9"/>
      <c r="E12" s="9"/>
      <c r="F12" s="11"/>
      <c r="G12" s="15"/>
      <c r="H12" s="12"/>
      <c r="L12" s="7"/>
    </row>
    <row r="13" spans="1:20">
      <c r="A13" s="6"/>
      <c r="B13" s="7"/>
      <c r="C13" s="8"/>
      <c r="D13" s="9"/>
      <c r="E13" s="10"/>
      <c r="F13" s="11"/>
      <c r="G13" s="7"/>
      <c r="H13" s="12"/>
      <c r="I13" s="13"/>
      <c r="J13" s="7"/>
      <c r="K13" s="7"/>
      <c r="L13" s="7"/>
      <c r="M13" s="7"/>
      <c r="N13" s="12"/>
      <c r="O13" s="7"/>
      <c r="P13" s="10"/>
      <c r="Q13" s="7"/>
      <c r="R13" s="7"/>
      <c r="S13" s="14"/>
      <c r="T13" s="10"/>
    </row>
    <row r="14" spans="1:20">
      <c r="A14" s="6"/>
      <c r="B14" s="7"/>
      <c r="C14" s="8"/>
      <c r="D14" s="9"/>
      <c r="E14" s="10"/>
      <c r="F14" s="11"/>
      <c r="G14" s="7"/>
      <c r="H14" s="12"/>
      <c r="I14" s="13"/>
      <c r="J14" s="7"/>
      <c r="K14" s="7"/>
      <c r="L14" s="7"/>
      <c r="M14" s="7"/>
      <c r="N14" s="12"/>
      <c r="O14" s="7"/>
      <c r="P14" s="10"/>
      <c r="Q14" s="7"/>
      <c r="R14" s="7"/>
      <c r="S14" s="14"/>
      <c r="T14" s="10"/>
    </row>
    <row r="15" spans="1:20">
      <c r="B15" s="7"/>
      <c r="D15" s="9"/>
      <c r="E15" s="9"/>
      <c r="F15" s="11"/>
      <c r="G15" s="7"/>
      <c r="H15" s="12"/>
      <c r="J15" s="7"/>
      <c r="L15" s="7"/>
    </row>
    <row r="16" spans="1:20">
      <c r="A16" s="6"/>
      <c r="B16" s="7"/>
      <c r="C16" s="8"/>
      <c r="D16" s="9"/>
      <c r="E16" s="10"/>
      <c r="F16" s="11"/>
      <c r="G16" s="7"/>
      <c r="H16" s="12"/>
      <c r="I16" s="13"/>
      <c r="J16" s="7"/>
      <c r="K16" s="7"/>
      <c r="L16" s="7"/>
      <c r="M16" s="7"/>
      <c r="N16" s="12"/>
      <c r="O16" s="7"/>
      <c r="P16" s="10"/>
      <c r="Q16" s="7"/>
      <c r="R16" s="7"/>
      <c r="S16" s="14"/>
      <c r="T16" s="10"/>
    </row>
    <row r="17" spans="1:20">
      <c r="A17" s="6"/>
      <c r="B17" s="7"/>
      <c r="C17" s="8"/>
      <c r="D17" s="9"/>
      <c r="E17" s="10"/>
      <c r="F17" s="11"/>
      <c r="G17" s="7"/>
      <c r="H17" s="12"/>
      <c r="I17" s="13"/>
      <c r="J17" s="7"/>
      <c r="K17" s="7"/>
      <c r="L17" s="7"/>
      <c r="M17" s="7"/>
      <c r="N17" s="12"/>
      <c r="O17" s="7"/>
      <c r="P17" s="10"/>
      <c r="Q17" s="7"/>
      <c r="R17" s="7"/>
      <c r="S17" s="14"/>
      <c r="T17" s="10"/>
    </row>
    <row r="18" spans="1:20">
      <c r="B18" s="7"/>
      <c r="D18" s="9"/>
      <c r="E18" s="9"/>
      <c r="F18" s="11"/>
      <c r="G18" s="7"/>
      <c r="H18" s="12"/>
      <c r="J18" s="7"/>
      <c r="L18" s="7"/>
    </row>
    <row r="19" spans="1:20">
      <c r="B19" s="7"/>
      <c r="D19" s="9"/>
      <c r="E19" s="9"/>
      <c r="F19" s="11"/>
      <c r="G19" s="7"/>
      <c r="H19" s="12"/>
    </row>
  </sheetData>
  <autoFilter ref="A1:T17" xr:uid="{00000000-0009-0000-0000-000000000000}">
    <sortState xmlns:xlrd2="http://schemas.microsoft.com/office/spreadsheetml/2017/richdata2" ref="A2:T17">
      <sortCondition ref="C1:C17"/>
    </sortState>
  </autoFilter>
  <phoneticPr fontId="7" type="noConversion"/>
  <dataValidations count="1">
    <dataValidation type="date" operator="greaterThanOrEqual" showInputMessage="1" showErrorMessage="1" sqref="C1:C1048576" xr:uid="{00000000-0002-0000-0000-000000000000}">
      <formula1>4019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支票辨識紀錄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語葳 吳</cp:lastModifiedBy>
  <dcterms:created xsi:type="dcterms:W3CDTF">2026-06-03T01:23:08Z</dcterms:created>
  <dcterms:modified xsi:type="dcterms:W3CDTF">2026-07-03T03:34:49Z</dcterms:modified>
</cp:coreProperties>
</file>