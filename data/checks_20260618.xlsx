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b3348a29a37a408/文件/Claude/Projects/支票辨識_ERP匯入/"/>
    </mc:Choice>
  </mc:AlternateContent>
  <xr:revisionPtr revIDLastSave="20" documentId="11_DC3EEF8A944688FFE52B9816502D1E7D99F64684" xr6:coauthVersionLast="47" xr6:coauthVersionMax="47" xr10:uidLastSave="{58DCC56A-3B63-4993-8A56-FB34834571C2}"/>
  <bookViews>
    <workbookView xWindow="-80" yWindow="0" windowWidth="12960" windowHeight="15360" xr2:uid="{00000000-000D-0000-FFFF-FFFF00000000}"/>
  </bookViews>
  <sheets>
    <sheet name="支票辨識紀錄" sheetId="1" r:id="rId1"/>
  </sheets>
  <definedNames>
    <definedName name="_xlnm._FilterDatabase" localSheetId="0" hidden="1">支票辨識紀錄!$A$1:$T$17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3" i="1"/>
  <c r="I6" i="1"/>
  <c r="I8" i="1"/>
  <c r="I7" i="1"/>
  <c r="I9" i="1"/>
  <c r="I2" i="1"/>
</calcChain>
</file>

<file path=xl/sharedStrings.xml><?xml version="1.0" encoding="utf-8"?>
<sst xmlns="http://schemas.openxmlformats.org/spreadsheetml/2006/main" count="131" uniqueCount="81">
  <si>
    <t>收票日</t>
  </si>
  <si>
    <t>支票號碼</t>
  </si>
  <si>
    <t>到期日</t>
  </si>
  <si>
    <t>發票人</t>
  </si>
  <si>
    <t>客戶</t>
  </si>
  <si>
    <t>實收金額</t>
  </si>
  <si>
    <t>銀行</t>
  </si>
  <si>
    <t>分行</t>
  </si>
  <si>
    <t>銀行+分行</t>
  </si>
  <si>
    <t>支存帳號</t>
  </si>
  <si>
    <t>付款行</t>
  </si>
  <si>
    <t>付款行代號</t>
  </si>
  <si>
    <t>送票日</t>
  </si>
  <si>
    <t>送票銀行</t>
  </si>
  <si>
    <t>送票號碼</t>
  </si>
  <si>
    <t>備註</t>
  </si>
  <si>
    <t>用途</t>
  </si>
  <si>
    <t>OCR信心值</t>
  </si>
  <si>
    <t>需人工覆核</t>
  </si>
  <si>
    <t>覆核原因</t>
  </si>
  <si>
    <t>115/06/18</t>
  </si>
  <si>
    <t>FR8210981</t>
  </si>
  <si>
    <t>115/06/30</t>
  </si>
  <si>
    <t>連全興國際有限公司</t>
  </si>
  <si>
    <t>彰化商業銀行</t>
  </si>
  <si>
    <t>北高雄</t>
  </si>
  <si>
    <t>032712330</t>
  </si>
  <si>
    <t>05-009-8164</t>
  </si>
  <si>
    <t>票面年份僅見「15年」，首位數疑遭表格邊緣遮蔽，研判為115年</t>
  </si>
  <si>
    <t>TRUE</t>
  </si>
  <si>
    <t>到期日年份疑似遮蔽（票面顯示15年→研判115年），請確認</t>
  </si>
  <si>
    <t>XV0548947</t>
  </si>
  <si>
    <t>115/09/15</t>
  </si>
  <si>
    <t>泰閎鋼鐵有限公司</t>
  </si>
  <si>
    <t>合作金庫商業銀行</t>
  </si>
  <si>
    <t>林口</t>
  </si>
  <si>
    <t>003950</t>
  </si>
  <si>
    <t>07-006-3155</t>
  </si>
  <si>
    <t>客戶主檔未對應</t>
  </si>
  <si>
    <t>RA6149736</t>
  </si>
  <si>
    <t>115/08/25</t>
  </si>
  <si>
    <t>第一銀行</t>
  </si>
  <si>
    <t>頭前</t>
  </si>
  <si>
    <t>030304167</t>
  </si>
  <si>
    <t>01-007-2148</t>
  </si>
  <si>
    <t>發票人僅見紅色印章、無公司抬頭，無法辨識</t>
  </si>
  <si>
    <t>發票人無法辨識；客戶主檔未對應</t>
  </si>
  <si>
    <t>EN0523743</t>
  </si>
  <si>
    <t>茂晟工業有限公司</t>
  </si>
  <si>
    <t>台北富邦銀行</t>
  </si>
  <si>
    <t>大湳</t>
  </si>
  <si>
    <t>00717101022066</t>
  </si>
  <si>
    <t>07-012-7174</t>
  </si>
  <si>
    <t>FALSE</t>
  </si>
  <si>
    <t>RN0038543</t>
  </si>
  <si>
    <t>115/08/15</t>
  </si>
  <si>
    <t>航將工業有限公司</t>
  </si>
  <si>
    <t>泰山</t>
  </si>
  <si>
    <t>03-00666-9-00</t>
  </si>
  <si>
    <t>01-009-5470</t>
  </si>
  <si>
    <t>RN0038541</t>
  </si>
  <si>
    <t>115/07/15</t>
  </si>
  <si>
    <t>QN2632884</t>
  </si>
  <si>
    <t>115/07/31</t>
  </si>
  <si>
    <t>名皇金屬工業股份有限公司</t>
  </si>
  <si>
    <t>南新莊</t>
  </si>
  <si>
    <t>03-66688-1-00</t>
  </si>
  <si>
    <t>01-009-5494</t>
  </si>
  <si>
    <t>TD6149541</t>
  </si>
  <si>
    <t>115/07/20</t>
  </si>
  <si>
    <t>協冠金屬股份有限公司</t>
  </si>
  <si>
    <t>華南商業銀行</t>
  </si>
  <si>
    <t>160020379</t>
  </si>
  <si>
    <t>07-008-2437</t>
  </si>
  <si>
    <t>主檔客戶名為「協冠金屬有限公司」，票面為「股份有限公司」</t>
  </si>
  <si>
    <t>客戶名稱與主檔不符（股份/有限），請確認</t>
  </si>
  <si>
    <t>天源特殊鋼有限公司</t>
    <phoneticPr fontId="7" type="noConversion"/>
  </si>
  <si>
    <t>壢昌</t>
    <phoneticPr fontId="7" type="noConversion"/>
  </si>
  <si>
    <t>彰銀</t>
    <phoneticPr fontId="7" type="noConversion"/>
  </si>
  <si>
    <t>57100101404800</t>
    <phoneticPr fontId="7" type="noConversion"/>
  </si>
  <si>
    <t>交換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</si>
</sst>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800404]e/m/d;@"/>
    <numFmt numFmtId="177" formatCode="[$-404]e/m/d;@"/>
    <numFmt numFmtId="178" formatCode="m&quot;月&quot;d&quot;日&quot;"/>
  </numFmts>
  <fonts count="9">
    <font>
      <sz val="11"/>
      <color theme="1"/>
      <name val="新細明體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0"/>
      <color rgb="FFCC0000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/>
    <xf numFmtId="177" fontId="1" fillId="2" borderId="0" xfId="0" applyNumberFormat="1" applyFont="1" applyFill="1" applyAlignment="1">
      <alignment horizontal="center" vertical="center" wrapText="1"/>
    </xf>
    <xf numFmtId="177" fontId="0" fillId="0" borderId="0" xfId="0" applyNumberFormat="1" applyAlignment="1">
      <alignment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B1" workbookViewId="0">
      <selection activeCell="G1" activeCellId="2" sqref="A1:A1048576 D1:D1048576 G1:H1048576"/>
    </sheetView>
  </sheetViews>
  <sheetFormatPr defaultRowHeight="15.7"/>
  <cols>
    <col min="1" max="1" width="14" style="3" hidden="1" customWidth="1"/>
    <col min="2" max="2" width="14" customWidth="1"/>
    <col min="3" max="3" width="12" style="5" customWidth="1"/>
    <col min="4" max="4" width="22" hidden="1" customWidth="1"/>
    <col min="5" max="5" width="28" customWidth="1"/>
    <col min="6" max="6" width="14" customWidth="1"/>
    <col min="7" max="7" width="20" hidden="1" customWidth="1"/>
    <col min="8" max="8" width="10" hidden="1" customWidth="1"/>
    <col min="9" max="9" width="14" customWidth="1"/>
    <col min="10" max="10" width="16" customWidth="1"/>
    <col min="11" max="11" width="20" customWidth="1"/>
    <col min="12" max="13" width="14" customWidth="1"/>
    <col min="14" max="14" width="10" customWidth="1"/>
    <col min="15" max="15" width="18" style="19" customWidth="1"/>
    <col min="16" max="16" width="40" hidden="1" customWidth="1"/>
    <col min="17" max="17" width="8" hidden="1" customWidth="1"/>
    <col min="18" max="19" width="10" hidden="1" customWidth="1"/>
    <col min="20" max="20" width="40" hidden="1" customWidth="1"/>
    <col min="21" max="22" width="0" hidden="1" customWidth="1"/>
  </cols>
  <sheetData>
    <row r="1" spans="1:20" ht="25.35" customHeight="1">
      <c r="A1" s="2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.35">
      <c r="A2" s="6" t="s">
        <v>20</v>
      </c>
      <c r="B2" s="7" t="s">
        <v>21</v>
      </c>
      <c r="C2" s="8" t="s">
        <v>22</v>
      </c>
      <c r="D2" s="9" t="s">
        <v>23</v>
      </c>
      <c r="E2" s="10" t="s">
        <v>23</v>
      </c>
      <c r="F2" s="11">
        <v>58817</v>
      </c>
      <c r="G2" s="7" t="s">
        <v>24</v>
      </c>
      <c r="H2" s="12" t="s">
        <v>25</v>
      </c>
      <c r="I2" s="13" t="str">
        <f t="shared" ref="I2:I9" si="0">LEFT(G2,2)&amp;H2</f>
        <v>彰化北高雄</v>
      </c>
      <c r="J2" s="7" t="s">
        <v>26</v>
      </c>
      <c r="K2" s="7"/>
      <c r="L2" s="7" t="s">
        <v>27</v>
      </c>
      <c r="M2" s="16">
        <v>46195</v>
      </c>
      <c r="N2" s="12" t="s">
        <v>78</v>
      </c>
      <c r="O2" s="18" t="s">
        <v>79</v>
      </c>
      <c r="P2" s="10" t="s">
        <v>28</v>
      </c>
      <c r="Q2" s="15" t="s">
        <v>80</v>
      </c>
      <c r="R2" s="7">
        <v>0.86</v>
      </c>
      <c r="S2" s="14" t="s">
        <v>29</v>
      </c>
      <c r="T2" s="10" t="s">
        <v>30</v>
      </c>
    </row>
    <row r="3" spans="1:20">
      <c r="A3" s="6" t="s">
        <v>20</v>
      </c>
      <c r="B3" s="7" t="s">
        <v>60</v>
      </c>
      <c r="C3" s="8" t="s">
        <v>61</v>
      </c>
      <c r="D3" s="9" t="s">
        <v>56</v>
      </c>
      <c r="E3" s="10" t="s">
        <v>56</v>
      </c>
      <c r="F3" s="11">
        <v>497579</v>
      </c>
      <c r="G3" s="7" t="s">
        <v>24</v>
      </c>
      <c r="H3" s="12" t="s">
        <v>57</v>
      </c>
      <c r="I3" s="13" t="str">
        <f t="shared" si="0"/>
        <v>彰化泰山</v>
      </c>
      <c r="J3" s="7" t="s">
        <v>58</v>
      </c>
      <c r="K3" s="7"/>
      <c r="L3" s="7" t="s">
        <v>59</v>
      </c>
      <c r="M3" s="16">
        <v>46195</v>
      </c>
      <c r="N3" s="12" t="s">
        <v>78</v>
      </c>
      <c r="O3" s="18" t="s">
        <v>79</v>
      </c>
      <c r="P3" s="10"/>
      <c r="Q3" s="15" t="s">
        <v>80</v>
      </c>
      <c r="R3" s="7">
        <v>0.93</v>
      </c>
      <c r="S3" s="14" t="s">
        <v>53</v>
      </c>
      <c r="T3" s="10"/>
    </row>
    <row r="4" spans="1:20" ht="25.35">
      <c r="A4" s="6" t="s">
        <v>20</v>
      </c>
      <c r="B4" s="7" t="s">
        <v>68</v>
      </c>
      <c r="C4" s="8" t="s">
        <v>69</v>
      </c>
      <c r="D4" s="9" t="s">
        <v>70</v>
      </c>
      <c r="E4" s="10" t="s">
        <v>70</v>
      </c>
      <c r="F4" s="11">
        <v>32576</v>
      </c>
      <c r="G4" s="7" t="s">
        <v>71</v>
      </c>
      <c r="H4" s="12" t="s">
        <v>77</v>
      </c>
      <c r="I4" s="13" t="str">
        <f t="shared" si="0"/>
        <v>華南壢昌</v>
      </c>
      <c r="J4" s="7" t="s">
        <v>72</v>
      </c>
      <c r="K4" s="7"/>
      <c r="L4" s="7" t="s">
        <v>73</v>
      </c>
      <c r="M4" s="16">
        <v>46195</v>
      </c>
      <c r="N4" s="12" t="s">
        <v>78</v>
      </c>
      <c r="O4" s="18" t="s">
        <v>79</v>
      </c>
      <c r="P4" s="10" t="s">
        <v>74</v>
      </c>
      <c r="Q4" s="15" t="s">
        <v>80</v>
      </c>
      <c r="R4" s="7">
        <v>0.9</v>
      </c>
      <c r="S4" s="14" t="s">
        <v>29</v>
      </c>
      <c r="T4" s="10" t="s">
        <v>75</v>
      </c>
    </row>
    <row r="5" spans="1:20">
      <c r="A5" s="6" t="s">
        <v>20</v>
      </c>
      <c r="B5" s="7" t="s">
        <v>62</v>
      </c>
      <c r="C5" s="8" t="s">
        <v>63</v>
      </c>
      <c r="D5" s="9" t="s">
        <v>64</v>
      </c>
      <c r="E5" s="10" t="s">
        <v>64</v>
      </c>
      <c r="F5" s="11">
        <v>39837</v>
      </c>
      <c r="G5" s="7" t="s">
        <v>24</v>
      </c>
      <c r="H5" s="12" t="s">
        <v>65</v>
      </c>
      <c r="I5" t="str">
        <f t="shared" si="0"/>
        <v>彰化南新莊</v>
      </c>
      <c r="J5" s="7" t="s">
        <v>66</v>
      </c>
      <c r="L5" s="7" t="s">
        <v>67</v>
      </c>
      <c r="M5" s="16">
        <v>46195</v>
      </c>
      <c r="N5" s="12" t="s">
        <v>78</v>
      </c>
      <c r="O5" s="18" t="s">
        <v>79</v>
      </c>
      <c r="Q5" s="15" t="s">
        <v>80</v>
      </c>
      <c r="R5">
        <v>0.94</v>
      </c>
      <c r="S5" t="s">
        <v>53</v>
      </c>
    </row>
    <row r="6" spans="1:20">
      <c r="A6" s="6" t="s">
        <v>20</v>
      </c>
      <c r="B6" s="7" t="s">
        <v>54</v>
      </c>
      <c r="C6" s="8" t="s">
        <v>55</v>
      </c>
      <c r="D6" s="9" t="s">
        <v>56</v>
      </c>
      <c r="E6" s="10" t="s">
        <v>56</v>
      </c>
      <c r="F6" s="11">
        <v>338979</v>
      </c>
      <c r="G6" s="7" t="s">
        <v>24</v>
      </c>
      <c r="H6" s="12" t="s">
        <v>57</v>
      </c>
      <c r="I6" s="13" t="str">
        <f t="shared" si="0"/>
        <v>彰化泰山</v>
      </c>
      <c r="J6" s="7" t="s">
        <v>58</v>
      </c>
      <c r="K6" s="7"/>
      <c r="L6" s="7" t="s">
        <v>59</v>
      </c>
      <c r="M6" s="16">
        <v>46195</v>
      </c>
      <c r="N6" s="12" t="s">
        <v>78</v>
      </c>
      <c r="O6" s="18" t="s">
        <v>79</v>
      </c>
      <c r="P6" s="10"/>
      <c r="Q6" s="15" t="s">
        <v>80</v>
      </c>
      <c r="R6" s="7">
        <v>0.93</v>
      </c>
      <c r="S6" s="14" t="s">
        <v>53</v>
      </c>
      <c r="T6" s="10"/>
    </row>
    <row r="7" spans="1:20">
      <c r="A7" s="6" t="s">
        <v>20</v>
      </c>
      <c r="B7" s="7" t="s">
        <v>39</v>
      </c>
      <c r="C7" s="8" t="s">
        <v>40</v>
      </c>
      <c r="D7" s="9" t="s">
        <v>76</v>
      </c>
      <c r="E7" s="10" t="s">
        <v>76</v>
      </c>
      <c r="F7" s="11">
        <v>104580</v>
      </c>
      <c r="G7" s="7" t="s">
        <v>41</v>
      </c>
      <c r="H7" s="12" t="s">
        <v>42</v>
      </c>
      <c r="I7" s="13" t="str">
        <f t="shared" si="0"/>
        <v>第一頭前</v>
      </c>
      <c r="J7" s="7" t="s">
        <v>43</v>
      </c>
      <c r="K7" s="7"/>
      <c r="L7" s="7" t="s">
        <v>44</v>
      </c>
      <c r="M7" s="16">
        <v>46195</v>
      </c>
      <c r="N7" s="12" t="s">
        <v>78</v>
      </c>
      <c r="O7" s="18" t="s">
        <v>79</v>
      </c>
      <c r="P7" s="10" t="s">
        <v>45</v>
      </c>
      <c r="Q7" s="15" t="s">
        <v>80</v>
      </c>
      <c r="R7" s="7">
        <v>0.8</v>
      </c>
      <c r="S7" s="14" t="s">
        <v>29</v>
      </c>
      <c r="T7" s="10" t="s">
        <v>46</v>
      </c>
    </row>
    <row r="8" spans="1:20">
      <c r="A8" s="6" t="s">
        <v>20</v>
      </c>
      <c r="B8" s="7" t="s">
        <v>47</v>
      </c>
      <c r="C8" s="8" t="s">
        <v>40</v>
      </c>
      <c r="D8" s="9" t="s">
        <v>48</v>
      </c>
      <c r="E8" s="10" t="s">
        <v>48</v>
      </c>
      <c r="F8" s="11">
        <v>126315</v>
      </c>
      <c r="G8" s="7" t="s">
        <v>49</v>
      </c>
      <c r="H8" s="12" t="s">
        <v>50</v>
      </c>
      <c r="I8" s="13" t="str">
        <f t="shared" si="0"/>
        <v>台北大湳</v>
      </c>
      <c r="J8" s="7" t="s">
        <v>51</v>
      </c>
      <c r="K8" s="7"/>
      <c r="L8" s="7" t="s">
        <v>52</v>
      </c>
      <c r="M8" s="16">
        <v>46195</v>
      </c>
      <c r="N8" s="12" t="s">
        <v>78</v>
      </c>
      <c r="O8" s="18" t="s">
        <v>79</v>
      </c>
      <c r="P8" s="10"/>
      <c r="Q8" s="15" t="s">
        <v>80</v>
      </c>
      <c r="R8" s="7">
        <v>0.95</v>
      </c>
      <c r="S8" s="14" t="s">
        <v>53</v>
      </c>
      <c r="T8" s="10"/>
    </row>
    <row r="9" spans="1:20">
      <c r="A9" s="6" t="s">
        <v>20</v>
      </c>
      <c r="B9" s="7" t="s">
        <v>31</v>
      </c>
      <c r="C9" s="8" t="s">
        <v>32</v>
      </c>
      <c r="D9" s="9" t="s">
        <v>33</v>
      </c>
      <c r="E9" s="10" t="s">
        <v>33</v>
      </c>
      <c r="F9" s="11">
        <v>49142</v>
      </c>
      <c r="G9" s="7" t="s">
        <v>34</v>
      </c>
      <c r="H9" s="12" t="s">
        <v>35</v>
      </c>
      <c r="I9" s="13" t="str">
        <f t="shared" si="0"/>
        <v>合作林口</v>
      </c>
      <c r="J9" s="7" t="s">
        <v>36</v>
      </c>
      <c r="K9" s="7"/>
      <c r="L9" s="7" t="s">
        <v>37</v>
      </c>
      <c r="M9" s="16">
        <v>46195</v>
      </c>
      <c r="N9" s="12" t="s">
        <v>78</v>
      </c>
      <c r="O9" s="18" t="s">
        <v>79</v>
      </c>
      <c r="P9" s="10"/>
      <c r="Q9" s="15" t="s">
        <v>80</v>
      </c>
      <c r="R9" s="7">
        <v>0.93</v>
      </c>
      <c r="S9" s="14" t="s">
        <v>29</v>
      </c>
      <c r="T9" s="10" t="s">
        <v>38</v>
      </c>
    </row>
  </sheetData>
  <autoFilter ref="A1:T17" xr:uid="{00000000-0009-0000-0000-000000000000}">
    <sortState xmlns:xlrd2="http://schemas.microsoft.com/office/spreadsheetml/2017/richdata2" ref="A2:T9">
      <sortCondition ref="C1:C17"/>
    </sortState>
  </autoFilter>
  <phoneticPr fontId="7" type="noConversion"/>
  <dataValidations count="1">
    <dataValidation type="date" operator="greaterThanOrEqual" showInputMessage="1" showErrorMessage="1" sqref="C1:C1048576" xr:uid="{00000000-0002-0000-0000-000000000000}">
      <formula1>4019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支票辨識紀錄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語葳 吳</cp:lastModifiedBy>
  <dcterms:created xsi:type="dcterms:W3CDTF">2026-06-03T01:23:08Z</dcterms:created>
  <dcterms:modified xsi:type="dcterms:W3CDTF">2026-07-03T03:36:50Z</dcterms:modified>
</cp:coreProperties>
</file>